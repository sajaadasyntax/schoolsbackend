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2026بورتسودان\"/>
    </mc:Choice>
  </mc:AlternateContent>
  <xr:revisionPtr revIDLastSave="0" documentId="13_ncr:1_{1EE6FE97-4446-4C37-89F2-0B5EBEA2F1DE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H27" i="1"/>
  <c r="J27" i="1"/>
  <c r="I27" i="1"/>
</calcChain>
</file>

<file path=xl/sharedStrings.xml><?xml version="1.0" encoding="utf-8"?>
<sst xmlns="http://schemas.openxmlformats.org/spreadsheetml/2006/main" count="30" uniqueCount="28">
  <si>
    <t>الملاحظات</t>
  </si>
  <si>
    <t>تقرير //1</t>
  </si>
  <si>
    <t>من أول الفترة الى 3/2/2026</t>
  </si>
  <si>
    <t>الصف</t>
  </si>
  <si>
    <t>الأول بنات</t>
  </si>
  <si>
    <t>الثاني بنات</t>
  </si>
  <si>
    <t>الثالث بنات</t>
  </si>
  <si>
    <t>المبلغ المستحق</t>
  </si>
  <si>
    <t>القسط الاول</t>
  </si>
  <si>
    <t>القسط الثاني</t>
  </si>
  <si>
    <t xml:space="preserve">الترحيل </t>
  </si>
  <si>
    <t xml:space="preserve">الرابع بنات </t>
  </si>
  <si>
    <t>الخامس بنات</t>
  </si>
  <si>
    <t>السادس بنات</t>
  </si>
  <si>
    <t>الاول متوسط</t>
  </si>
  <si>
    <t>الثاني متوسط</t>
  </si>
  <si>
    <t>الثالث متوسط</t>
  </si>
  <si>
    <t>الاول بنين</t>
  </si>
  <si>
    <t>الثاني بنين</t>
  </si>
  <si>
    <t>الثالث بنين</t>
  </si>
  <si>
    <t>الرابع بنين</t>
  </si>
  <si>
    <t>الخامس بنين</t>
  </si>
  <si>
    <t>السادس بنين</t>
  </si>
  <si>
    <t xml:space="preserve">الاول متوسط </t>
  </si>
  <si>
    <t>التسجيل</t>
  </si>
  <si>
    <t>كتب</t>
  </si>
  <si>
    <t>زي</t>
  </si>
  <si>
    <t>القسط الثالث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</si>
</sst>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3" fillId="3" borderId="1" xfId="0" applyFont="1" applyFill="1" applyBorder="1"/>
    <xf numFmtId="164" fontId="3" fillId="0" borderId="1" xfId="1" applyNumberFormat="1" applyFont="1" applyBorder="1"/>
    <xf numFmtId="164" fontId="3" fillId="0" borderId="0" xfId="1" applyNumberFormat="1" applyFont="1"/>
    <xf numFmtId="0" fontId="3" fillId="2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28"/>
  <sheetViews>
    <sheetView rightToLeft="1" tabSelected="1" topLeftCell="A4" workbookViewId="0">
      <selection activeCell="C29" sqref="C29"/>
    </sheetView>
  </sheetViews>
  <sheetFormatPr defaultRowHeight="14.5" x14ac:dyDescent="0.35"/>
  <cols>
    <col min="2" max="2" width="5.7265625" customWidth="1"/>
    <col min="3" max="3" width="14" customWidth="1"/>
    <col min="4" max="6" width="14.6328125" customWidth="1"/>
    <col min="7" max="11" width="15.36328125" customWidth="1"/>
    <col min="12" max="12" width="17.90625" customWidth="1"/>
  </cols>
  <sheetData>
    <row r="3" spans="3:12" x14ac:dyDescent="0.35">
      <c r="F3" s="11" t="s">
        <v>1</v>
      </c>
      <c r="G3" s="11"/>
      <c r="H3" s="3"/>
      <c r="I3" s="3"/>
      <c r="J3" s="3"/>
      <c r="K3" s="3"/>
      <c r="L3" s="2"/>
    </row>
    <row r="4" spans="3:12" x14ac:dyDescent="0.35">
      <c r="F4" s="10" t="s">
        <v>2</v>
      </c>
      <c r="G4" s="10"/>
      <c r="H4" s="4"/>
      <c r="I4" s="4"/>
      <c r="J4" s="4"/>
      <c r="K4" s="4"/>
    </row>
    <row r="6" spans="3:12" ht="15.5" x14ac:dyDescent="0.35">
      <c r="C6" s="5" t="s">
        <v>3</v>
      </c>
      <c r="D6" s="5" t="s">
        <v>7</v>
      </c>
      <c r="E6" s="5" t="s">
        <v>24</v>
      </c>
      <c r="F6" s="5" t="s">
        <v>8</v>
      </c>
      <c r="G6" s="5" t="s">
        <v>9</v>
      </c>
      <c r="H6" s="5" t="s">
        <v>27</v>
      </c>
      <c r="I6" s="5" t="s">
        <v>25</v>
      </c>
      <c r="J6" s="5" t="s">
        <v>26</v>
      </c>
      <c r="K6" s="5" t="s">
        <v>10</v>
      </c>
      <c r="L6" s="5" t="s">
        <v>0</v>
      </c>
    </row>
    <row r="7" spans="3:12" x14ac:dyDescent="0.35">
      <c r="C7" s="6" t="s">
        <v>4</v>
      </c>
      <c r="D7" s="7">
        <v>4220000</v>
      </c>
      <c r="E7" s="7">
        <v>400000</v>
      </c>
      <c r="F7" s="7">
        <v>600000</v>
      </c>
      <c r="G7" s="7"/>
      <c r="H7" s="7"/>
      <c r="I7" s="7">
        <v>245000</v>
      </c>
      <c r="J7" s="7">
        <v>245000</v>
      </c>
      <c r="K7" s="1"/>
      <c r="L7" s="1"/>
    </row>
    <row r="8" spans="3:12" x14ac:dyDescent="0.35">
      <c r="C8" s="6" t="s">
        <v>5</v>
      </c>
      <c r="D8" s="7">
        <v>7950000</v>
      </c>
      <c r="E8" s="7">
        <v>700000</v>
      </c>
      <c r="F8" s="7">
        <v>1035000</v>
      </c>
      <c r="G8" s="7">
        <v>225000</v>
      </c>
      <c r="H8" s="7"/>
      <c r="I8" s="7">
        <v>420000</v>
      </c>
      <c r="J8" s="7">
        <v>430000</v>
      </c>
      <c r="K8" s="1"/>
      <c r="L8" s="1"/>
    </row>
    <row r="9" spans="3:12" x14ac:dyDescent="0.35">
      <c r="C9" s="6" t="s">
        <v>6</v>
      </c>
      <c r="D9" s="7">
        <v>11620000</v>
      </c>
      <c r="E9" s="7">
        <v>1050000</v>
      </c>
      <c r="F9" s="7">
        <v>2496000</v>
      </c>
      <c r="G9" s="7">
        <v>200000</v>
      </c>
      <c r="H9" s="7"/>
      <c r="I9" s="7">
        <v>620000</v>
      </c>
      <c r="J9" s="7">
        <v>630000</v>
      </c>
      <c r="K9" s="1"/>
      <c r="L9" s="1"/>
    </row>
    <row r="10" spans="3:12" x14ac:dyDescent="0.35">
      <c r="C10" s="6" t="s">
        <v>11</v>
      </c>
      <c r="D10" s="7">
        <v>8350000</v>
      </c>
      <c r="E10" s="7">
        <v>700000</v>
      </c>
      <c r="F10" s="7">
        <v>1665000</v>
      </c>
      <c r="G10" s="7">
        <v>250000</v>
      </c>
      <c r="H10" s="7"/>
      <c r="I10" s="7">
        <v>490000</v>
      </c>
      <c r="J10" s="7">
        <v>490000</v>
      </c>
      <c r="K10" s="1"/>
      <c r="L10" s="1"/>
    </row>
    <row r="11" spans="3:12" x14ac:dyDescent="0.35">
      <c r="C11" s="6" t="s">
        <v>12</v>
      </c>
      <c r="D11" s="7">
        <v>4940000</v>
      </c>
      <c r="E11" s="7">
        <v>500000</v>
      </c>
      <c r="F11" s="7">
        <v>870000</v>
      </c>
      <c r="G11" s="7">
        <v>450000</v>
      </c>
      <c r="H11" s="7"/>
      <c r="I11" s="7">
        <v>225000</v>
      </c>
      <c r="J11" s="7">
        <v>275000</v>
      </c>
      <c r="K11" s="1"/>
      <c r="L11" s="1"/>
    </row>
    <row r="12" spans="3:12" x14ac:dyDescent="0.35">
      <c r="C12" s="6" t="s">
        <v>13</v>
      </c>
      <c r="D12" s="7">
        <v>6400000</v>
      </c>
      <c r="E12" s="7">
        <v>550000</v>
      </c>
      <c r="F12" s="7">
        <v>1545000</v>
      </c>
      <c r="G12" s="7"/>
      <c r="H12" s="7"/>
      <c r="I12" s="7">
        <v>350000</v>
      </c>
      <c r="J12" s="7">
        <v>350000</v>
      </c>
      <c r="K12" s="1"/>
      <c r="L12" s="1"/>
    </row>
    <row r="13" spans="3:12" x14ac:dyDescent="0.35">
      <c r="C13" s="6" t="s">
        <v>14</v>
      </c>
      <c r="D13" s="7">
        <v>700000</v>
      </c>
      <c r="E13" s="7">
        <v>50000</v>
      </c>
      <c r="F13" s="7">
        <v>20000</v>
      </c>
      <c r="G13" s="7"/>
      <c r="H13" s="7"/>
      <c r="I13" s="7"/>
      <c r="J13" s="7"/>
      <c r="K13" s="1"/>
      <c r="L13" s="1"/>
    </row>
    <row r="14" spans="3:12" x14ac:dyDescent="0.35">
      <c r="C14" s="6" t="s">
        <v>15</v>
      </c>
      <c r="D14" s="7">
        <v>13300000</v>
      </c>
      <c r="E14" s="7">
        <v>950000</v>
      </c>
      <c r="F14" s="7">
        <v>3060000</v>
      </c>
      <c r="G14" s="7">
        <v>660000</v>
      </c>
      <c r="H14" s="7"/>
      <c r="I14" s="7">
        <v>710000</v>
      </c>
      <c r="J14" s="7">
        <v>630000</v>
      </c>
      <c r="K14" s="1"/>
      <c r="L14" s="1"/>
    </row>
    <row r="15" spans="3:12" x14ac:dyDescent="0.35">
      <c r="C15" s="6" t="s">
        <v>16</v>
      </c>
      <c r="D15" s="7">
        <v>10650000</v>
      </c>
      <c r="E15" s="7">
        <v>800000</v>
      </c>
      <c r="F15" s="7">
        <v>1240000</v>
      </c>
      <c r="G15" s="7">
        <v>200000</v>
      </c>
      <c r="H15" s="7"/>
      <c r="I15" s="7">
        <v>560000</v>
      </c>
      <c r="J15" s="7">
        <v>490000</v>
      </c>
      <c r="K15" s="1"/>
      <c r="L15" s="1"/>
    </row>
    <row r="16" spans="3:12" x14ac:dyDescent="0.35">
      <c r="C16" s="9" t="s">
        <v>17</v>
      </c>
      <c r="D16" s="7">
        <v>14920000</v>
      </c>
      <c r="E16" s="7">
        <v>1300000</v>
      </c>
      <c r="F16" s="7">
        <v>3555000</v>
      </c>
      <c r="G16" s="7">
        <v>350000</v>
      </c>
      <c r="H16" s="7"/>
      <c r="I16" s="7">
        <v>805000</v>
      </c>
      <c r="J16" s="7">
        <v>805000</v>
      </c>
      <c r="K16" s="1"/>
      <c r="L16" s="1"/>
    </row>
    <row r="17" spans="3:12" x14ac:dyDescent="0.35">
      <c r="C17" s="9" t="s">
        <v>18</v>
      </c>
      <c r="D17" s="7">
        <v>14750000</v>
      </c>
      <c r="E17" s="7">
        <v>1400000</v>
      </c>
      <c r="F17" s="7">
        <v>2445000</v>
      </c>
      <c r="G17" s="7">
        <v>150000</v>
      </c>
      <c r="H17" s="7"/>
      <c r="I17" s="7">
        <v>825000</v>
      </c>
      <c r="J17" s="7">
        <v>805000</v>
      </c>
      <c r="K17" s="1"/>
      <c r="L17" s="1"/>
    </row>
    <row r="18" spans="3:12" x14ac:dyDescent="0.35">
      <c r="C18" s="9" t="s">
        <v>19</v>
      </c>
      <c r="D18" s="7">
        <v>18900000</v>
      </c>
      <c r="E18" s="7">
        <v>1600000</v>
      </c>
      <c r="F18" s="7">
        <v>3170000</v>
      </c>
      <c r="G18" s="7">
        <v>550000</v>
      </c>
      <c r="H18" s="7"/>
      <c r="I18" s="7">
        <v>960000</v>
      </c>
      <c r="J18" s="7">
        <v>980000</v>
      </c>
      <c r="K18" s="1"/>
      <c r="L18" s="1"/>
    </row>
    <row r="19" spans="3:12" x14ac:dyDescent="0.35">
      <c r="C19" s="9" t="s">
        <v>20</v>
      </c>
      <c r="D19" s="7">
        <v>21670000</v>
      </c>
      <c r="E19" s="7">
        <v>1900000</v>
      </c>
      <c r="F19" s="7">
        <v>3420000</v>
      </c>
      <c r="G19" s="7">
        <v>850000</v>
      </c>
      <c r="H19" s="7"/>
      <c r="I19" s="7">
        <v>1165000</v>
      </c>
      <c r="J19" s="7">
        <v>1145000</v>
      </c>
      <c r="K19" s="1"/>
      <c r="L19" s="1"/>
    </row>
    <row r="20" spans="3:12" x14ac:dyDescent="0.35">
      <c r="C20" s="9" t="s">
        <v>21</v>
      </c>
      <c r="D20" s="7">
        <v>20700000</v>
      </c>
      <c r="E20" s="7">
        <v>1800000</v>
      </c>
      <c r="F20" s="7">
        <v>4355000</v>
      </c>
      <c r="G20" s="7">
        <v>350000</v>
      </c>
      <c r="H20" s="7">
        <v>100000</v>
      </c>
      <c r="I20" s="7">
        <v>1040000</v>
      </c>
      <c r="J20" s="7">
        <v>1050000</v>
      </c>
      <c r="K20" s="1"/>
      <c r="L20" s="1"/>
    </row>
    <row r="21" spans="3:12" x14ac:dyDescent="0.35">
      <c r="C21" s="9" t="s">
        <v>22</v>
      </c>
      <c r="D21" s="7">
        <v>19530000</v>
      </c>
      <c r="E21" s="7">
        <v>1700000</v>
      </c>
      <c r="F21" s="7">
        <v>3590000</v>
      </c>
      <c r="G21" s="7">
        <v>300000</v>
      </c>
      <c r="H21" s="7"/>
      <c r="I21" s="7">
        <v>1030000</v>
      </c>
      <c r="J21" s="7">
        <v>995000</v>
      </c>
      <c r="K21" s="1"/>
      <c r="L21" s="1"/>
    </row>
    <row r="22" spans="3:12" x14ac:dyDescent="0.35">
      <c r="C22" s="9" t="s">
        <v>23</v>
      </c>
      <c r="D22" s="7">
        <v>1400000</v>
      </c>
      <c r="E22" s="7">
        <v>100000</v>
      </c>
      <c r="F22" s="7">
        <v>440000</v>
      </c>
      <c r="G22" s="7"/>
      <c r="H22" s="7"/>
      <c r="I22" s="7">
        <v>90000</v>
      </c>
      <c r="J22" s="7">
        <v>70000</v>
      </c>
      <c r="K22" s="1"/>
      <c r="L22" s="1"/>
    </row>
    <row r="23" spans="3:12" x14ac:dyDescent="0.35">
      <c r="C23" s="9" t="s">
        <v>15</v>
      </c>
      <c r="D23" s="7">
        <v>23205000</v>
      </c>
      <c r="E23" s="7">
        <v>1700000</v>
      </c>
      <c r="F23" s="7">
        <v>5205000</v>
      </c>
      <c r="G23" s="7">
        <v>500000</v>
      </c>
      <c r="H23" s="7"/>
      <c r="I23" s="7">
        <v>1215000</v>
      </c>
      <c r="J23" s="7">
        <v>1120000</v>
      </c>
      <c r="K23" s="1"/>
      <c r="L23" s="1"/>
    </row>
    <row r="24" spans="3:12" x14ac:dyDescent="0.35">
      <c r="C24" s="9" t="s">
        <v>16</v>
      </c>
      <c r="D24" s="7">
        <v>19470000</v>
      </c>
      <c r="E24" s="7">
        <v>1500000</v>
      </c>
      <c r="F24" s="7">
        <v>4445000</v>
      </c>
      <c r="G24" s="7">
        <v>2150000</v>
      </c>
      <c r="H24" s="7"/>
      <c r="I24" s="7">
        <v>1010000</v>
      </c>
      <c r="J24" s="7">
        <v>890000</v>
      </c>
      <c r="K24" s="1"/>
      <c r="L24" s="1"/>
    </row>
    <row r="25" spans="3:12" x14ac:dyDescent="0.35">
      <c r="C25" s="9"/>
      <c r="D25" s="7"/>
      <c r="E25" s="7"/>
      <c r="F25" s="7"/>
      <c r="G25" s="7"/>
      <c r="H25" s="7"/>
      <c r="I25" s="7"/>
      <c r="J25" s="7"/>
      <c r="K25" s="1"/>
      <c r="L25" s="1"/>
    </row>
    <row r="26" spans="3:12" x14ac:dyDescent="0.35">
      <c r="C26" s="1"/>
      <c r="D26" s="7"/>
      <c r="E26" s="7"/>
      <c r="F26" s="7"/>
      <c r="G26" s="7"/>
      <c r="H26" s="7"/>
      <c r="I26" s="7"/>
      <c r="J26" s="7"/>
      <c r="K26" s="1"/>
      <c r="L26" s="1"/>
    </row>
    <row r="27" spans="3:12" x14ac:dyDescent="0.35">
      <c r="C27" s="1"/>
      <c r="D27" s="7">
        <f>SUM(D7:D26)</f>
        <v>222675000</v>
      </c>
      <c r="E27" s="7">
        <f>SUM(E7:E26)</f>
        <v>18700000</v>
      </c>
      <c r="F27" s="7">
        <f>SUM(F7:F26)</f>
        <v>43156000</v>
      </c>
      <c r="G27" s="7">
        <f>SUM(G7:G26)</f>
        <v>7185000</v>
      </c>
      <c r="H27" s="7">
        <f>SUM(H7:H26)</f>
        <v>100000</v>
      </c>
      <c r="I27" s="7">
        <f>SUM(I7:I26)</f>
        <v>11760000</v>
      </c>
      <c r="J27" s="7">
        <f>SUM(J7:J26)</f>
        <v>11400000</v>
      </c>
      <c r="K27" s="1"/>
      <c r="L27" s="1"/>
    </row>
    <row r="28" spans="3:12" x14ac:dyDescent="0.35">
      <c r="I28" s="8"/>
    </row>
  </sheetData>
  <mergeCells count="2">
    <mergeCell ref="F4:G4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2026-02-04T11:31:08Z</dcterms:modified>
</cp:coreProperties>
</file>