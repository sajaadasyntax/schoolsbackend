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الخرطوم 2026\"/>
    </mc:Choice>
  </mc:AlternateContent>
  <xr:revisionPtr revIDLastSave="0" documentId="13_ncr:1_{617B6FFB-9149-4912-AD3A-58FE27216234}" xr6:coauthVersionLast="47" xr6:coauthVersionMax="47" xr10:uidLastSave="{00000000-0000-0000-0000-000000000000}"/>
  <bookViews>
    <workbookView xWindow="-110" yWindow="-110" windowWidth="19420" windowHeight="12660" xr2:uid="{2D91AE35-D650-45FD-8E70-8C18F21D9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1" l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R45" i="1"/>
  <c r="Q45" i="1"/>
  <c r="T8" i="1"/>
  <c r="O45" i="1"/>
  <c r="P45" i="1"/>
  <c r="S45" i="1"/>
  <c r="T14" i="1"/>
  <c r="T9" i="1"/>
  <c r="T10" i="1"/>
  <c r="T12" i="1"/>
  <c r="T11" i="1"/>
  <c r="T13" i="1"/>
  <c r="T7" i="1"/>
  <c r="N45" i="1"/>
  <c r="M45" i="1"/>
  <c r="T45" i="1" l="1"/>
</calcChain>
</file>

<file path=xl/sharedStrings.xml><?xml version="1.0" encoding="utf-8"?>
<sst xmlns="http://schemas.openxmlformats.org/spreadsheetml/2006/main" count="55" uniqueCount="52">
  <si>
    <t>م</t>
  </si>
  <si>
    <t>الاسم</t>
  </si>
  <si>
    <t>المستحق</t>
  </si>
  <si>
    <t>القسط الاول</t>
  </si>
  <si>
    <t>القسط الثاني</t>
  </si>
  <si>
    <t>المتبقي</t>
  </si>
  <si>
    <t>ملاحظات</t>
  </si>
  <si>
    <t>الجملة</t>
  </si>
  <si>
    <t>الثالث</t>
  </si>
  <si>
    <t>جميع الطلاب</t>
  </si>
  <si>
    <t>تسجيل</t>
  </si>
  <si>
    <t>زي</t>
  </si>
  <si>
    <t>عمران عبدالباقي</t>
  </si>
  <si>
    <t>الخرطوم</t>
  </si>
  <si>
    <t xml:space="preserve">مدرسة  الإمام الشافعي </t>
  </si>
  <si>
    <t>الصف</t>
  </si>
  <si>
    <t>كتب</t>
  </si>
  <si>
    <t>ملاذ عباس مصطفى</t>
  </si>
  <si>
    <t xml:space="preserve">ترتيل عادل </t>
  </si>
  <si>
    <t>منى الطيب اسماعيل</t>
  </si>
  <si>
    <t>البراء بشير عبيد</t>
  </si>
  <si>
    <t>محمد المصطفى  بشير</t>
  </si>
  <si>
    <t>الثاني</t>
  </si>
  <si>
    <t xml:space="preserve">وعد حمد ابراهيم </t>
  </si>
  <si>
    <t>ساره عماد بيومي</t>
  </si>
  <si>
    <t>ستنا عماد بيومي</t>
  </si>
  <si>
    <t>آية عبدالناصر</t>
  </si>
  <si>
    <t>احمد عبدالناصر</t>
  </si>
  <si>
    <t xml:space="preserve">تالية الصادق </t>
  </si>
  <si>
    <t>اشراقة جمال الدين</t>
  </si>
  <si>
    <t>منة الله جمال الدين</t>
  </si>
  <si>
    <t>ريان ادم</t>
  </si>
  <si>
    <t>محمد محي الدين</t>
  </si>
  <si>
    <t>احمد يوسف</t>
  </si>
  <si>
    <t>ياسين عماد</t>
  </si>
  <si>
    <t>سليمان عماد</t>
  </si>
  <si>
    <t>عاصم الريح</t>
  </si>
  <si>
    <t xml:space="preserve">سامية عبدالمنعم </t>
  </si>
  <si>
    <t xml:space="preserve">عدن عثمان </t>
  </si>
  <si>
    <t>جواد عثمان</t>
  </si>
  <si>
    <t>احمد علاءالدين</t>
  </si>
  <si>
    <t>أسامة علاء الدين</t>
  </si>
  <si>
    <t>نميري مصطفى</t>
  </si>
  <si>
    <t>مراد معمر</t>
  </si>
  <si>
    <t>مشتهى محمد مصطفى</t>
  </si>
  <si>
    <t xml:space="preserve">جدية عثمان </t>
  </si>
  <si>
    <t>سامية عبدالماجد</t>
  </si>
  <si>
    <t>مرافئ مصطفى</t>
  </si>
  <si>
    <t>نبا عبدالرحمن</t>
  </si>
  <si>
    <t>عدن عبدالرحمن</t>
  </si>
  <si>
    <t>محمد عبدالرحمن</t>
  </si>
  <si>
    <t>ايتام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</si>
</sst>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 val="double"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64" fontId="2" fillId="3" borderId="1" xfId="1" applyNumberFormat="1" applyFont="1" applyFill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164" fontId="2" fillId="0" borderId="1" xfId="1" applyNumberFormat="1" applyFont="1" applyBorder="1"/>
    <xf numFmtId="164" fontId="2" fillId="0" borderId="1" xfId="0" applyNumberFormat="1" applyFont="1" applyBorder="1"/>
    <xf numFmtId="0" fontId="3" fillId="3" borderId="0" xfId="0" applyFont="1" applyFill="1"/>
    <xf numFmtId="164" fontId="2" fillId="3" borderId="1" xfId="0" applyNumberFormat="1" applyFont="1" applyFill="1" applyBorder="1"/>
    <xf numFmtId="0" fontId="3" fillId="0" borderId="1" xfId="0" applyFont="1" applyBorder="1"/>
    <xf numFmtId="164" fontId="2" fillId="2" borderId="1" xfId="1" applyNumberFormat="1" applyFont="1" applyFill="1" applyBorder="1"/>
    <xf numFmtId="164" fontId="3" fillId="0" borderId="0" xfId="0" applyNumberFormat="1" applyFont="1"/>
    <xf numFmtId="0" fontId="2" fillId="0" borderId="1" xfId="0" applyFont="1" applyBorder="1"/>
    <xf numFmtId="0" fontId="2" fillId="3" borderId="1" xfId="0" applyFont="1" applyFill="1" applyBorder="1"/>
    <xf numFmtId="0" fontId="2" fillId="0" borderId="0" xfId="0" applyFont="1"/>
    <xf numFmtId="164" fontId="2" fillId="4" borderId="1" xfId="1" applyNumberFormat="1" applyFont="1" applyFill="1" applyBorder="1"/>
    <xf numFmtId="164" fontId="2" fillId="4" borderId="1" xfId="0" applyNumberFormat="1" applyFont="1" applyFill="1" applyBorder="1"/>
    <xf numFmtId="0" fontId="5" fillId="2" borderId="1" xfId="0" applyFont="1" applyFill="1" applyBorder="1"/>
    <xf numFmtId="164" fontId="6" fillId="4" borderId="1" xfId="1" applyNumberFormat="1" applyFont="1" applyFill="1" applyBorder="1"/>
    <xf numFmtId="164" fontId="6" fillId="2" borderId="1" xfId="1" applyNumberFormat="1" applyFont="1" applyFill="1" applyBorder="1"/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6B61-DFAA-4C9A-A71A-804A72FF336A}">
  <dimension ref="I1:V91"/>
  <sheetViews>
    <sheetView rightToLeft="1" tabSelected="1" topLeftCell="H17" zoomScale="95" workbookViewId="0">
      <selection activeCell="O31" sqref="O31"/>
    </sheetView>
  </sheetViews>
  <sheetFormatPr defaultRowHeight="14.5" x14ac:dyDescent="0.35"/>
  <cols>
    <col min="10" max="10" width="6" customWidth="1"/>
    <col min="11" max="11" width="21" customWidth="1"/>
    <col min="12" max="12" width="9" customWidth="1"/>
    <col min="13" max="13" width="14.26953125" customWidth="1"/>
    <col min="14" max="14" width="15.7265625" customWidth="1"/>
    <col min="15" max="16" width="12.26953125" customWidth="1"/>
    <col min="17" max="17" width="11.36328125" customWidth="1"/>
    <col min="18" max="18" width="12.54296875" customWidth="1"/>
    <col min="19" max="19" width="11.1796875" customWidth="1"/>
    <col min="20" max="20" width="20.90625" customWidth="1"/>
    <col min="21" max="21" width="10.81640625" bestFit="1" customWidth="1"/>
  </cols>
  <sheetData>
    <row r="1" spans="9:22" ht="18.5" x14ac:dyDescent="0.45"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9:22" ht="18.5" x14ac:dyDescent="0.45">
      <c r="I2" s="2"/>
      <c r="J2" s="2"/>
      <c r="K2" s="2"/>
      <c r="L2" s="2"/>
      <c r="M2" s="2"/>
      <c r="N2" s="22" t="s">
        <v>14</v>
      </c>
      <c r="O2" s="22"/>
      <c r="P2" s="22"/>
      <c r="Q2" s="2"/>
      <c r="R2" s="2"/>
      <c r="S2" s="2"/>
      <c r="T2" s="2"/>
      <c r="U2" s="2"/>
      <c r="V2" s="2"/>
    </row>
    <row r="3" spans="9:22" ht="18.5" x14ac:dyDescent="0.45">
      <c r="I3" s="2"/>
      <c r="J3" s="2"/>
      <c r="K3" s="2"/>
      <c r="L3" s="2"/>
      <c r="M3" s="2"/>
      <c r="N3" s="16"/>
      <c r="O3" s="16" t="s">
        <v>13</v>
      </c>
      <c r="P3" s="2"/>
      <c r="Q3" s="2"/>
      <c r="R3" s="2"/>
      <c r="S3" s="2"/>
      <c r="T3" s="2"/>
      <c r="U3" s="2"/>
      <c r="V3" s="2"/>
    </row>
    <row r="4" spans="9:22" ht="18.5" x14ac:dyDescent="0.45">
      <c r="I4" s="2"/>
      <c r="J4" s="23" t="s">
        <v>9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"/>
    </row>
    <row r="5" spans="9:22" ht="18.5" x14ac:dyDescent="0.45">
      <c r="I5" s="2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"/>
    </row>
    <row r="6" spans="9:22" ht="18.5" x14ac:dyDescent="0.45">
      <c r="I6" s="2"/>
      <c r="J6" s="19" t="s">
        <v>0</v>
      </c>
      <c r="K6" s="4" t="s">
        <v>1</v>
      </c>
      <c r="L6" s="4" t="s">
        <v>15</v>
      </c>
      <c r="M6" s="4" t="s">
        <v>2</v>
      </c>
      <c r="N6" s="4" t="s">
        <v>10</v>
      </c>
      <c r="O6" s="4" t="s">
        <v>3</v>
      </c>
      <c r="P6" s="4" t="s">
        <v>4</v>
      </c>
      <c r="Q6" s="4" t="s">
        <v>8</v>
      </c>
      <c r="R6" s="4" t="s">
        <v>16</v>
      </c>
      <c r="S6" s="4" t="s">
        <v>11</v>
      </c>
      <c r="T6" s="4" t="s">
        <v>5</v>
      </c>
      <c r="U6" s="5" t="s">
        <v>6</v>
      </c>
      <c r="V6" s="2"/>
    </row>
    <row r="7" spans="9:22" ht="18.5" x14ac:dyDescent="0.45">
      <c r="I7" s="2"/>
      <c r="J7" s="19">
        <v>1</v>
      </c>
      <c r="K7" s="15" t="s">
        <v>12</v>
      </c>
      <c r="L7" s="15" t="s">
        <v>8</v>
      </c>
      <c r="M7" s="7">
        <v>600000</v>
      </c>
      <c r="N7" s="1">
        <v>50000</v>
      </c>
      <c r="O7" s="1"/>
      <c r="P7" s="1"/>
      <c r="Q7" s="15"/>
      <c r="R7" s="1">
        <v>20000</v>
      </c>
      <c r="S7" s="10"/>
      <c r="T7" s="10">
        <f>(M7-N7-O7-P7-Q7-R7-S7)</f>
        <v>530000</v>
      </c>
      <c r="U7" s="11"/>
      <c r="V7" s="2"/>
    </row>
    <row r="8" spans="9:22" ht="18.5" x14ac:dyDescent="0.45">
      <c r="I8" s="2"/>
      <c r="J8" s="19">
        <v>2</v>
      </c>
      <c r="K8" s="15" t="s">
        <v>17</v>
      </c>
      <c r="L8" s="15" t="s">
        <v>8</v>
      </c>
      <c r="M8" s="7">
        <v>600000</v>
      </c>
      <c r="N8" s="1">
        <v>50000</v>
      </c>
      <c r="O8" s="1"/>
      <c r="P8" s="1"/>
      <c r="Q8" s="15"/>
      <c r="R8" s="1"/>
      <c r="S8" s="10"/>
      <c r="T8" s="10">
        <f>(M8-N8-O8-P8-Q8-R8-S8)</f>
        <v>550000</v>
      </c>
      <c r="U8" s="11"/>
      <c r="V8" s="2"/>
    </row>
    <row r="9" spans="9:22" ht="18.5" x14ac:dyDescent="0.45">
      <c r="I9" s="2"/>
      <c r="J9" s="19">
        <v>3</v>
      </c>
      <c r="K9" s="15" t="s">
        <v>18</v>
      </c>
      <c r="L9" s="15"/>
      <c r="M9" s="7">
        <v>600000</v>
      </c>
      <c r="N9" s="1">
        <v>50000</v>
      </c>
      <c r="O9" s="1">
        <v>20000</v>
      </c>
      <c r="P9" s="1"/>
      <c r="Q9" s="1"/>
      <c r="R9" s="1">
        <v>20000</v>
      </c>
      <c r="S9" s="10">
        <v>50000</v>
      </c>
      <c r="T9" s="10">
        <f t="shared" ref="T9:T44" si="0">(M9-N9-O9-P9-Q9-R9-S9)</f>
        <v>460000</v>
      </c>
      <c r="U9" s="11"/>
      <c r="V9" s="2"/>
    </row>
    <row r="10" spans="9:22" ht="18.5" x14ac:dyDescent="0.45">
      <c r="I10" s="2"/>
      <c r="J10" s="19">
        <v>4</v>
      </c>
      <c r="K10" s="15" t="s">
        <v>19</v>
      </c>
      <c r="L10" s="15"/>
      <c r="M10" s="7">
        <v>600000</v>
      </c>
      <c r="N10" s="1">
        <v>50000</v>
      </c>
      <c r="O10" s="1"/>
      <c r="P10" s="1"/>
      <c r="Q10" s="15"/>
      <c r="R10" s="1">
        <v>20000</v>
      </c>
      <c r="S10" s="10">
        <v>50000</v>
      </c>
      <c r="T10" s="10">
        <f t="shared" si="0"/>
        <v>480000</v>
      </c>
      <c r="V10" s="2"/>
    </row>
    <row r="11" spans="9:22" ht="18.5" x14ac:dyDescent="0.45">
      <c r="I11" s="2"/>
      <c r="J11" s="19">
        <v>5</v>
      </c>
      <c r="K11" s="15" t="s">
        <v>20</v>
      </c>
      <c r="L11" s="15"/>
      <c r="M11" s="7">
        <v>550000</v>
      </c>
      <c r="N11" s="1">
        <v>50000</v>
      </c>
      <c r="O11" s="1"/>
      <c r="P11" s="1"/>
      <c r="Q11" s="1"/>
      <c r="R11" s="1"/>
      <c r="S11" s="10">
        <v>50000</v>
      </c>
      <c r="T11" s="10">
        <f t="shared" si="0"/>
        <v>450000</v>
      </c>
      <c r="U11" s="11"/>
      <c r="V11" s="2"/>
    </row>
    <row r="12" spans="9:22" ht="18.5" x14ac:dyDescent="0.45">
      <c r="I12" s="2"/>
      <c r="J12" s="19">
        <v>6</v>
      </c>
      <c r="K12" s="15" t="s">
        <v>21</v>
      </c>
      <c r="L12" s="15" t="s">
        <v>22</v>
      </c>
      <c r="M12" s="7">
        <v>550000</v>
      </c>
      <c r="N12" s="1">
        <v>50000</v>
      </c>
      <c r="O12" s="1"/>
      <c r="P12" s="1"/>
      <c r="Q12" s="1"/>
      <c r="R12" s="1"/>
      <c r="S12" s="10">
        <v>50000</v>
      </c>
      <c r="T12" s="10">
        <f t="shared" si="0"/>
        <v>450000</v>
      </c>
      <c r="U12" s="6"/>
      <c r="V12" s="2"/>
    </row>
    <row r="13" spans="9:22" ht="18.5" x14ac:dyDescent="0.45">
      <c r="I13" s="2"/>
      <c r="J13" s="19">
        <v>7</v>
      </c>
      <c r="K13" s="15" t="s">
        <v>23</v>
      </c>
      <c r="L13" s="15"/>
      <c r="M13" s="7">
        <v>600000</v>
      </c>
      <c r="N13" s="1">
        <v>50000</v>
      </c>
      <c r="O13" s="1">
        <v>80000</v>
      </c>
      <c r="P13" s="1"/>
      <c r="Q13" s="15"/>
      <c r="R13" s="1">
        <v>20000</v>
      </c>
      <c r="S13" s="10">
        <v>50000</v>
      </c>
      <c r="T13" s="10">
        <f t="shared" si="0"/>
        <v>400000</v>
      </c>
      <c r="U13" s="6"/>
      <c r="V13" s="2"/>
    </row>
    <row r="14" spans="9:22" ht="18.5" x14ac:dyDescent="0.45">
      <c r="I14" s="2"/>
      <c r="J14" s="19">
        <v>8</v>
      </c>
      <c r="K14" s="15" t="s">
        <v>24</v>
      </c>
      <c r="L14" s="15"/>
      <c r="M14" s="7">
        <v>600000</v>
      </c>
      <c r="N14" s="1">
        <v>50000</v>
      </c>
      <c r="O14" s="1"/>
      <c r="P14" s="1"/>
      <c r="Q14" s="15"/>
      <c r="R14" s="1">
        <v>20000</v>
      </c>
      <c r="S14" s="10">
        <v>50000</v>
      </c>
      <c r="T14" s="10">
        <f t="shared" si="0"/>
        <v>480000</v>
      </c>
      <c r="U14" s="6"/>
      <c r="V14" s="9"/>
    </row>
    <row r="15" spans="9:22" ht="18.5" x14ac:dyDescent="0.45">
      <c r="I15" s="2"/>
      <c r="J15" s="19">
        <v>9</v>
      </c>
      <c r="K15" s="15" t="s">
        <v>25</v>
      </c>
      <c r="L15" s="15"/>
      <c r="M15" s="7">
        <v>600000</v>
      </c>
      <c r="N15" s="1">
        <v>50000</v>
      </c>
      <c r="O15" s="1"/>
      <c r="P15" s="1"/>
      <c r="Q15" s="15"/>
      <c r="R15" s="1">
        <v>20000</v>
      </c>
      <c r="S15" s="10">
        <v>50000</v>
      </c>
      <c r="T15" s="10">
        <f t="shared" si="0"/>
        <v>480000</v>
      </c>
      <c r="U15" s="6"/>
      <c r="V15" s="2"/>
    </row>
    <row r="16" spans="9:22" ht="18.5" x14ac:dyDescent="0.45">
      <c r="I16" s="2"/>
      <c r="J16" s="19">
        <v>10</v>
      </c>
      <c r="K16" s="15" t="s">
        <v>26</v>
      </c>
      <c r="L16" s="15"/>
      <c r="M16" s="7">
        <v>550000</v>
      </c>
      <c r="N16" s="1">
        <v>50000</v>
      </c>
      <c r="O16" s="1"/>
      <c r="P16" s="1"/>
      <c r="Q16" s="15"/>
      <c r="R16" s="1"/>
      <c r="S16" s="10">
        <v>50000</v>
      </c>
      <c r="T16" s="10">
        <f t="shared" si="0"/>
        <v>450000</v>
      </c>
      <c r="U16" s="6"/>
      <c r="V16" s="2"/>
    </row>
    <row r="17" spans="9:22" ht="18.5" x14ac:dyDescent="0.45">
      <c r="I17" s="2"/>
      <c r="J17" s="19">
        <v>11</v>
      </c>
      <c r="K17" s="15" t="s">
        <v>27</v>
      </c>
      <c r="L17" s="15"/>
      <c r="M17" s="7">
        <v>550000</v>
      </c>
      <c r="N17" s="1">
        <v>50000</v>
      </c>
      <c r="O17" s="1"/>
      <c r="P17" s="1"/>
      <c r="Q17" s="15"/>
      <c r="R17" s="1"/>
      <c r="S17" s="10">
        <v>50000</v>
      </c>
      <c r="T17" s="10">
        <f t="shared" si="0"/>
        <v>450000</v>
      </c>
      <c r="U17" s="10"/>
      <c r="V17" s="2"/>
    </row>
    <row r="18" spans="9:22" ht="18.5" x14ac:dyDescent="0.45">
      <c r="I18" s="2"/>
      <c r="J18" s="19">
        <v>12</v>
      </c>
      <c r="K18" s="15" t="s">
        <v>28</v>
      </c>
      <c r="L18" s="15"/>
      <c r="M18" s="7">
        <v>600000</v>
      </c>
      <c r="N18" s="1">
        <v>50000</v>
      </c>
      <c r="O18" s="1"/>
      <c r="P18" s="1"/>
      <c r="Q18" s="15"/>
      <c r="R18" s="1">
        <v>20000</v>
      </c>
      <c r="S18" s="10">
        <v>50000</v>
      </c>
      <c r="T18" s="10">
        <f t="shared" si="0"/>
        <v>480000</v>
      </c>
      <c r="U18" s="6"/>
      <c r="V18" s="9"/>
    </row>
    <row r="19" spans="9:22" ht="18.5" x14ac:dyDescent="0.45">
      <c r="I19" s="2"/>
      <c r="J19" s="19">
        <v>13</v>
      </c>
      <c r="K19" s="15" t="s">
        <v>29</v>
      </c>
      <c r="L19" s="15"/>
      <c r="M19" s="7">
        <v>550000</v>
      </c>
      <c r="N19" s="1">
        <v>50000</v>
      </c>
      <c r="O19" s="1"/>
      <c r="P19" s="1"/>
      <c r="Q19" s="15"/>
      <c r="R19" s="1">
        <v>20000</v>
      </c>
      <c r="S19" s="10">
        <v>50000</v>
      </c>
      <c r="T19" s="10">
        <f t="shared" si="0"/>
        <v>430000</v>
      </c>
      <c r="V19" s="2"/>
    </row>
    <row r="20" spans="9:22" ht="18.5" x14ac:dyDescent="0.45">
      <c r="I20" s="2"/>
      <c r="J20" s="19">
        <v>14</v>
      </c>
      <c r="K20" s="15" t="s">
        <v>30</v>
      </c>
      <c r="L20" s="15"/>
      <c r="M20" s="7">
        <v>550000</v>
      </c>
      <c r="N20" s="1">
        <v>50000</v>
      </c>
      <c r="O20" s="1"/>
      <c r="P20" s="1"/>
      <c r="Q20" s="15"/>
      <c r="R20" s="1">
        <v>20000</v>
      </c>
      <c r="S20" s="10">
        <v>50000</v>
      </c>
      <c r="T20" s="10">
        <f t="shared" si="0"/>
        <v>430000</v>
      </c>
      <c r="U20" s="6"/>
      <c r="V20" s="2"/>
    </row>
    <row r="21" spans="9:22" ht="18.5" x14ac:dyDescent="0.45">
      <c r="I21" s="2"/>
      <c r="J21" s="19">
        <v>15</v>
      </c>
      <c r="K21" s="15" t="s">
        <v>31</v>
      </c>
      <c r="L21" s="15"/>
      <c r="M21" s="7">
        <v>600000</v>
      </c>
      <c r="N21" s="1">
        <v>50000</v>
      </c>
      <c r="O21" s="1"/>
      <c r="P21" s="1"/>
      <c r="Q21" s="1"/>
      <c r="R21" s="1"/>
      <c r="S21" s="10">
        <v>50000</v>
      </c>
      <c r="T21" s="10">
        <f t="shared" si="0"/>
        <v>500000</v>
      </c>
      <c r="U21" s="6"/>
      <c r="V21" s="2"/>
    </row>
    <row r="22" spans="9:22" ht="18.5" x14ac:dyDescent="0.45">
      <c r="I22" s="2"/>
      <c r="J22" s="19">
        <v>16</v>
      </c>
      <c r="K22" s="15" t="s">
        <v>32</v>
      </c>
      <c r="L22" s="15"/>
      <c r="M22" s="7">
        <v>600000</v>
      </c>
      <c r="N22" s="1">
        <v>50000</v>
      </c>
      <c r="O22" s="1"/>
      <c r="P22" s="1"/>
      <c r="Q22" s="15"/>
      <c r="R22" s="1">
        <v>20000</v>
      </c>
      <c r="S22" s="10">
        <v>50000</v>
      </c>
      <c r="T22" s="10">
        <f t="shared" si="0"/>
        <v>480000</v>
      </c>
      <c r="U22" s="6"/>
      <c r="V22" s="2"/>
    </row>
    <row r="23" spans="9:22" ht="18.5" x14ac:dyDescent="0.45">
      <c r="I23" s="2"/>
      <c r="J23" s="19">
        <v>17</v>
      </c>
      <c r="K23" s="15" t="s">
        <v>33</v>
      </c>
      <c r="L23" s="15"/>
      <c r="M23" s="7">
        <v>600000</v>
      </c>
      <c r="N23" s="1">
        <v>50000</v>
      </c>
      <c r="O23" s="1"/>
      <c r="P23" s="1"/>
      <c r="Q23" s="15"/>
      <c r="R23" s="1">
        <v>20000</v>
      </c>
      <c r="S23" s="10">
        <v>50000</v>
      </c>
      <c r="T23" s="10">
        <f t="shared" si="0"/>
        <v>480000</v>
      </c>
      <c r="V23" s="2"/>
    </row>
    <row r="24" spans="9:22" ht="18.5" x14ac:dyDescent="0.45">
      <c r="I24" s="2"/>
      <c r="J24" s="19">
        <v>18</v>
      </c>
      <c r="K24" s="15" t="s">
        <v>34</v>
      </c>
      <c r="L24" s="15"/>
      <c r="M24" s="7">
        <v>50000</v>
      </c>
      <c r="N24" s="1">
        <v>50000</v>
      </c>
      <c r="O24" s="1"/>
      <c r="P24" s="1"/>
      <c r="Q24" s="15"/>
      <c r="R24" s="1"/>
      <c r="S24" s="10"/>
      <c r="T24" s="10">
        <f t="shared" si="0"/>
        <v>0</v>
      </c>
      <c r="U24" s="6"/>
      <c r="V24" s="2"/>
    </row>
    <row r="25" spans="9:22" ht="18.5" x14ac:dyDescent="0.45">
      <c r="I25" s="2"/>
      <c r="J25" s="19">
        <v>19</v>
      </c>
      <c r="K25" s="15" t="s">
        <v>35</v>
      </c>
      <c r="L25" s="15"/>
      <c r="M25" s="7">
        <v>50000</v>
      </c>
      <c r="N25" s="1">
        <v>50000</v>
      </c>
      <c r="O25" s="1"/>
      <c r="P25" s="1"/>
      <c r="Q25" s="15"/>
      <c r="R25" s="1"/>
      <c r="S25" s="10"/>
      <c r="T25" s="10">
        <f t="shared" si="0"/>
        <v>0</v>
      </c>
      <c r="U25" s="6"/>
      <c r="V25" s="2"/>
    </row>
    <row r="26" spans="9:22" ht="18.5" x14ac:dyDescent="0.45">
      <c r="I26" s="2"/>
      <c r="J26" s="19">
        <v>20</v>
      </c>
      <c r="K26" s="15" t="s">
        <v>36</v>
      </c>
      <c r="L26" s="15"/>
      <c r="M26" s="7">
        <v>600000</v>
      </c>
      <c r="N26" s="1">
        <v>50000</v>
      </c>
      <c r="O26" s="1"/>
      <c r="P26" s="1"/>
      <c r="Q26" s="15"/>
      <c r="R26" s="1">
        <v>20000</v>
      </c>
      <c r="S26" s="10">
        <v>50000</v>
      </c>
      <c r="T26" s="10">
        <f t="shared" si="0"/>
        <v>480000</v>
      </c>
      <c r="U26" s="6"/>
      <c r="V26" s="2"/>
    </row>
    <row r="27" spans="9:22" ht="18.5" x14ac:dyDescent="0.45">
      <c r="I27" s="2"/>
      <c r="J27" s="19">
        <v>21</v>
      </c>
      <c r="K27" s="15" t="s">
        <v>37</v>
      </c>
      <c r="L27" s="15"/>
      <c r="M27" s="7">
        <v>600000</v>
      </c>
      <c r="N27" s="1">
        <v>50000</v>
      </c>
      <c r="O27" s="1"/>
      <c r="P27" s="1"/>
      <c r="Q27" s="15"/>
      <c r="R27" s="1"/>
      <c r="S27" s="10">
        <v>50000</v>
      </c>
      <c r="T27" s="10">
        <f t="shared" si="0"/>
        <v>500000</v>
      </c>
      <c r="U27" s="6"/>
      <c r="V27" s="2"/>
    </row>
    <row r="28" spans="9:22" ht="18.5" x14ac:dyDescent="0.45">
      <c r="I28" s="2"/>
      <c r="J28" s="19">
        <v>22</v>
      </c>
      <c r="K28" s="15" t="s">
        <v>38</v>
      </c>
      <c r="L28" s="15"/>
      <c r="M28" s="7">
        <v>50000</v>
      </c>
      <c r="N28" s="1">
        <v>0</v>
      </c>
      <c r="O28" s="1"/>
      <c r="P28" s="1"/>
      <c r="Q28" s="15"/>
      <c r="R28" s="1"/>
      <c r="S28" s="10"/>
      <c r="T28" s="10">
        <f t="shared" si="0"/>
        <v>50000</v>
      </c>
      <c r="U28" s="6"/>
      <c r="V28" s="2"/>
    </row>
    <row r="29" spans="9:22" ht="18.5" x14ac:dyDescent="0.45">
      <c r="I29" s="2"/>
      <c r="J29" s="19">
        <v>23</v>
      </c>
      <c r="K29" s="15" t="s">
        <v>39</v>
      </c>
      <c r="L29" s="15"/>
      <c r="M29" s="7">
        <v>50000</v>
      </c>
      <c r="N29" s="1"/>
      <c r="O29" s="1"/>
      <c r="P29" s="1"/>
      <c r="Q29" s="15"/>
      <c r="R29" s="1"/>
      <c r="S29" s="10"/>
      <c r="T29" s="10">
        <f t="shared" si="0"/>
        <v>50000</v>
      </c>
      <c r="U29" s="6"/>
      <c r="V29" s="2"/>
    </row>
    <row r="30" spans="9:22" ht="18.5" x14ac:dyDescent="0.45">
      <c r="I30" s="2"/>
      <c r="J30" s="19">
        <v>24</v>
      </c>
      <c r="K30" s="15" t="s">
        <v>40</v>
      </c>
      <c r="L30" s="15"/>
      <c r="M30" s="7">
        <v>550000</v>
      </c>
      <c r="N30" s="1">
        <v>50000</v>
      </c>
      <c r="O30" s="1">
        <v>30000</v>
      </c>
      <c r="P30" s="1"/>
      <c r="Q30" s="15"/>
      <c r="R30" s="1">
        <v>20000</v>
      </c>
      <c r="S30" s="10"/>
      <c r="T30" s="10">
        <f t="shared" si="0"/>
        <v>450000</v>
      </c>
      <c r="U30" s="6"/>
      <c r="V30" s="2"/>
    </row>
    <row r="31" spans="9:22" ht="18.5" x14ac:dyDescent="0.45">
      <c r="I31" s="2"/>
      <c r="J31" s="19">
        <v>25</v>
      </c>
      <c r="K31" s="15" t="s">
        <v>41</v>
      </c>
      <c r="L31" s="15"/>
      <c r="M31" s="7">
        <v>550000</v>
      </c>
      <c r="N31" s="1">
        <v>50000</v>
      </c>
      <c r="O31" s="1">
        <v>30000</v>
      </c>
      <c r="P31" s="1"/>
      <c r="Q31" s="15"/>
      <c r="R31" s="1">
        <v>20000</v>
      </c>
      <c r="S31" s="10"/>
      <c r="T31" s="10">
        <f t="shared" si="0"/>
        <v>450000</v>
      </c>
      <c r="U31" s="6"/>
      <c r="V31" s="2"/>
    </row>
    <row r="32" spans="9:22" ht="18.5" x14ac:dyDescent="0.45">
      <c r="I32" s="2"/>
      <c r="J32" s="19">
        <v>26</v>
      </c>
      <c r="K32" s="15" t="s">
        <v>42</v>
      </c>
      <c r="L32" s="15"/>
      <c r="M32" s="7"/>
      <c r="N32" s="1"/>
      <c r="O32" s="1"/>
      <c r="P32" s="1"/>
      <c r="Q32" s="15"/>
      <c r="R32" s="1"/>
      <c r="S32" s="10"/>
      <c r="T32" s="10">
        <f t="shared" si="0"/>
        <v>0</v>
      </c>
      <c r="U32" s="6"/>
      <c r="V32" s="2"/>
    </row>
    <row r="33" spans="9:22" ht="18.5" x14ac:dyDescent="0.45">
      <c r="I33" s="2"/>
      <c r="J33" s="19">
        <v>27</v>
      </c>
      <c r="K33" s="15" t="s">
        <v>43</v>
      </c>
      <c r="L33" s="15"/>
      <c r="M33" s="7"/>
      <c r="N33" s="1"/>
      <c r="O33" s="1"/>
      <c r="P33" s="1"/>
      <c r="Q33" s="15"/>
      <c r="R33" s="1"/>
      <c r="S33" s="10"/>
      <c r="T33" s="10">
        <f t="shared" si="0"/>
        <v>0</v>
      </c>
      <c r="U33" s="6"/>
      <c r="V33" s="2"/>
    </row>
    <row r="34" spans="9:22" ht="18.5" x14ac:dyDescent="0.45">
      <c r="I34" s="2"/>
      <c r="J34" s="19">
        <v>28</v>
      </c>
      <c r="K34" s="15" t="s">
        <v>44</v>
      </c>
      <c r="L34" s="15"/>
      <c r="M34" s="7"/>
      <c r="N34" s="1"/>
      <c r="O34" s="1"/>
      <c r="P34" s="1"/>
      <c r="Q34" s="15"/>
      <c r="R34" s="1"/>
      <c r="S34" s="10"/>
      <c r="T34" s="10">
        <f t="shared" si="0"/>
        <v>0</v>
      </c>
      <c r="U34" s="6"/>
      <c r="V34" s="2"/>
    </row>
    <row r="35" spans="9:22" ht="18.5" x14ac:dyDescent="0.45">
      <c r="I35" s="2"/>
      <c r="J35" s="19">
        <v>29</v>
      </c>
      <c r="K35" s="15" t="s">
        <v>45</v>
      </c>
      <c r="L35" s="15"/>
      <c r="M35" s="7">
        <v>70000</v>
      </c>
      <c r="N35" s="1"/>
      <c r="O35" s="1"/>
      <c r="P35" s="1"/>
      <c r="Q35" s="15"/>
      <c r="R35" s="1"/>
      <c r="S35" s="10"/>
      <c r="T35" s="10">
        <f t="shared" si="0"/>
        <v>70000</v>
      </c>
      <c r="U35" s="6"/>
      <c r="V35" s="2"/>
    </row>
    <row r="36" spans="9:22" ht="18.5" x14ac:dyDescent="0.45">
      <c r="I36" s="2"/>
      <c r="J36" s="19">
        <v>30</v>
      </c>
      <c r="K36" s="15" t="s">
        <v>46</v>
      </c>
      <c r="L36" s="15"/>
      <c r="M36" s="7"/>
      <c r="N36" s="1"/>
      <c r="O36" s="1"/>
      <c r="P36" s="1"/>
      <c r="Q36" s="15"/>
      <c r="R36" s="1"/>
      <c r="S36" s="10"/>
      <c r="T36" s="10">
        <f t="shared" si="0"/>
        <v>0</v>
      </c>
      <c r="U36" s="6"/>
      <c r="V36" s="2"/>
    </row>
    <row r="37" spans="9:22" ht="18.5" x14ac:dyDescent="0.45">
      <c r="I37" s="2"/>
      <c r="J37" s="19">
        <v>31</v>
      </c>
      <c r="K37" s="15" t="s">
        <v>47</v>
      </c>
      <c r="L37" s="15"/>
      <c r="M37" s="7"/>
      <c r="N37" s="1"/>
      <c r="O37" s="1"/>
      <c r="P37" s="1"/>
      <c r="Q37" s="15"/>
      <c r="R37" s="1"/>
      <c r="S37" s="10"/>
      <c r="T37" s="10">
        <f t="shared" si="0"/>
        <v>0</v>
      </c>
      <c r="U37" s="6"/>
      <c r="V37" s="2"/>
    </row>
    <row r="38" spans="9:22" ht="18.5" x14ac:dyDescent="0.45">
      <c r="I38" s="2"/>
      <c r="J38" s="19">
        <v>32</v>
      </c>
      <c r="K38" s="15" t="s">
        <v>48</v>
      </c>
      <c r="L38" s="15"/>
      <c r="M38" s="7">
        <v>70000</v>
      </c>
      <c r="N38" s="1"/>
      <c r="O38" s="1"/>
      <c r="P38" s="1"/>
      <c r="Q38" s="15"/>
      <c r="R38" s="1"/>
      <c r="S38" s="10"/>
      <c r="T38" s="10">
        <f t="shared" si="0"/>
        <v>70000</v>
      </c>
      <c r="U38" s="6" t="s">
        <v>51</v>
      </c>
      <c r="V38" s="2"/>
    </row>
    <row r="39" spans="9:22" ht="18.5" x14ac:dyDescent="0.45">
      <c r="I39" s="2"/>
      <c r="J39" s="19">
        <v>33</v>
      </c>
      <c r="K39" s="15" t="s">
        <v>49</v>
      </c>
      <c r="L39" s="15"/>
      <c r="M39" s="7">
        <v>70000</v>
      </c>
      <c r="N39" s="1"/>
      <c r="O39" s="1"/>
      <c r="P39" s="1"/>
      <c r="Q39" s="15"/>
      <c r="R39" s="1"/>
      <c r="S39" s="10"/>
      <c r="T39" s="10">
        <f t="shared" si="0"/>
        <v>70000</v>
      </c>
      <c r="U39" s="6" t="s">
        <v>51</v>
      </c>
      <c r="V39" s="2"/>
    </row>
    <row r="40" spans="9:22" ht="18.5" x14ac:dyDescent="0.45">
      <c r="I40" s="2"/>
      <c r="J40" s="19">
        <v>34</v>
      </c>
      <c r="K40" s="15" t="s">
        <v>50</v>
      </c>
      <c r="L40" s="15"/>
      <c r="M40" s="7"/>
      <c r="N40" s="1"/>
      <c r="O40" s="1"/>
      <c r="P40" s="1"/>
      <c r="Q40" s="15"/>
      <c r="R40" s="1"/>
      <c r="S40" s="10"/>
      <c r="T40" s="10">
        <f t="shared" si="0"/>
        <v>0</v>
      </c>
      <c r="U40" s="6"/>
      <c r="V40" s="2"/>
    </row>
    <row r="41" spans="9:22" ht="18.5" x14ac:dyDescent="0.45">
      <c r="I41" s="2"/>
      <c r="J41" s="19">
        <v>35</v>
      </c>
      <c r="K41" s="15"/>
      <c r="L41" s="15"/>
      <c r="M41" s="7"/>
      <c r="N41" s="1"/>
      <c r="O41" s="1"/>
      <c r="P41" s="1"/>
      <c r="Q41" s="15"/>
      <c r="R41" s="1"/>
      <c r="S41" s="10"/>
      <c r="T41" s="10">
        <f t="shared" si="0"/>
        <v>0</v>
      </c>
      <c r="U41" s="6"/>
      <c r="V41" s="2"/>
    </row>
    <row r="42" spans="9:22" ht="18.5" x14ac:dyDescent="0.45">
      <c r="I42" s="2"/>
      <c r="J42" s="19">
        <v>36</v>
      </c>
      <c r="K42" s="15"/>
      <c r="L42" s="15"/>
      <c r="M42" s="7"/>
      <c r="N42" s="1"/>
      <c r="O42" s="1"/>
      <c r="P42" s="1"/>
      <c r="Q42" s="15"/>
      <c r="R42" s="1"/>
      <c r="S42" s="10"/>
      <c r="T42" s="10">
        <f t="shared" si="0"/>
        <v>0</v>
      </c>
      <c r="U42" s="6"/>
      <c r="V42" s="2"/>
    </row>
    <row r="43" spans="9:22" ht="18.5" x14ac:dyDescent="0.45">
      <c r="I43" s="2"/>
      <c r="J43" s="19">
        <v>37</v>
      </c>
      <c r="K43" s="15"/>
      <c r="L43" s="15"/>
      <c r="M43" s="7"/>
      <c r="N43" s="1"/>
      <c r="O43" s="1"/>
      <c r="P43" s="1"/>
      <c r="Q43" s="15"/>
      <c r="R43" s="1"/>
      <c r="S43" s="10"/>
      <c r="T43" s="10">
        <f t="shared" si="0"/>
        <v>0</v>
      </c>
      <c r="U43" s="6"/>
      <c r="V43" s="2"/>
    </row>
    <row r="44" spans="9:22" ht="18.5" x14ac:dyDescent="0.45">
      <c r="I44" s="2"/>
      <c r="J44" s="19">
        <v>38</v>
      </c>
      <c r="K44" s="14"/>
      <c r="L44" s="14"/>
      <c r="M44" s="7"/>
      <c r="N44" s="7"/>
      <c r="O44" s="1"/>
      <c r="P44" s="1"/>
      <c r="Q44" s="15"/>
      <c r="R44" s="1"/>
      <c r="S44" s="8"/>
      <c r="T44" s="10">
        <f t="shared" si="0"/>
        <v>0</v>
      </c>
      <c r="U44" s="6"/>
      <c r="V44" s="2"/>
    </row>
    <row r="45" spans="9:22" ht="18.5" x14ac:dyDescent="0.45">
      <c r="I45" s="2"/>
      <c r="J45" s="19"/>
      <c r="K45" s="5" t="s">
        <v>7</v>
      </c>
      <c r="L45" s="5"/>
      <c r="M45" s="20">
        <f t="shared" ref="M45:S45" si="1">SUM(M7:M44)</f>
        <v>12610000</v>
      </c>
      <c r="N45" s="17">
        <f t="shared" si="1"/>
        <v>1150000</v>
      </c>
      <c r="O45" s="17">
        <f t="shared" si="1"/>
        <v>160000</v>
      </c>
      <c r="P45" s="20">
        <f t="shared" si="1"/>
        <v>0</v>
      </c>
      <c r="Q45" s="12">
        <f t="shared" si="1"/>
        <v>0</v>
      </c>
      <c r="R45" s="21">
        <f t="shared" si="1"/>
        <v>280000</v>
      </c>
      <c r="S45" s="18">
        <f t="shared" si="1"/>
        <v>850000</v>
      </c>
      <c r="T45" s="18">
        <f>SUM(T7:T44)</f>
        <v>10170000</v>
      </c>
      <c r="U45" s="4"/>
      <c r="V45" s="2"/>
    </row>
    <row r="46" spans="9:22" ht="18.5" x14ac:dyDescent="0.45">
      <c r="I46" s="2"/>
      <c r="J46" s="2"/>
      <c r="K46" s="2"/>
      <c r="L46" s="2"/>
      <c r="M46" s="2"/>
      <c r="N46" s="2"/>
      <c r="O46" s="2"/>
      <c r="P46" s="2"/>
      <c r="Q46" s="2"/>
      <c r="R46" s="2"/>
      <c r="S46" s="13"/>
      <c r="T46" s="2"/>
      <c r="U46" s="2"/>
      <c r="V46" s="2"/>
    </row>
    <row r="47" spans="9:22" ht="18.5" x14ac:dyDescent="0.45"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9:22" ht="18.5" x14ac:dyDescent="0.45"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9:22" ht="18.5" x14ac:dyDescent="0.45"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9:22" ht="18.5" x14ac:dyDescent="0.45"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9:22" ht="18.5" x14ac:dyDescent="0.45"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9:22" ht="18.5" x14ac:dyDescent="0.45"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10"/>
    </row>
    <row r="53" spans="9:22" ht="18.5" x14ac:dyDescent="0.45"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9:22" ht="18.5" x14ac:dyDescent="0.45"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9:22" ht="18.5" x14ac:dyDescent="0.45"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9:22" ht="18.5" x14ac:dyDescent="0.45"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9:22" ht="18.5" x14ac:dyDescent="0.45"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9:22" ht="18.5" x14ac:dyDescent="0.45"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9:22" ht="18.5" x14ac:dyDescent="0.45"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9:22" ht="18.5" x14ac:dyDescent="0.45"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9:22" ht="18.5" x14ac:dyDescent="0.45"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9:22" ht="18.5" x14ac:dyDescent="0.45"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9:22" ht="18.5" x14ac:dyDescent="0.45">
      <c r="I63" s="2"/>
      <c r="J63" s="2"/>
      <c r="K63" s="2"/>
      <c r="L63" s="2"/>
      <c r="M63" s="2"/>
      <c r="N63" s="2"/>
      <c r="O63" s="2"/>
      <c r="P63" s="2"/>
      <c r="Q63" s="3"/>
      <c r="R63" s="3"/>
      <c r="S63" s="2"/>
      <c r="T63" s="2"/>
      <c r="U63" s="2"/>
      <c r="V63" s="2"/>
    </row>
    <row r="64" spans="9:22" ht="18.5" x14ac:dyDescent="0.45"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9:22" ht="18.5" x14ac:dyDescent="0.45"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9:22" ht="18.5" x14ac:dyDescent="0.45"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9:22" ht="18.5" x14ac:dyDescent="0.45"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9:22" ht="18.5" x14ac:dyDescent="0.45"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9:22" ht="18.5" x14ac:dyDescent="0.45"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9:22" ht="18.5" x14ac:dyDescent="0.45"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9:22" ht="18.5" x14ac:dyDescent="0.45"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9:22" ht="18.5" x14ac:dyDescent="0.45"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9:22" ht="18.5" x14ac:dyDescent="0.45">
      <c r="V73" s="2"/>
    </row>
    <row r="74" spans="9:22" ht="18.5" x14ac:dyDescent="0.45">
      <c r="V74" s="2"/>
    </row>
    <row r="75" spans="9:22" ht="18.5" x14ac:dyDescent="0.45">
      <c r="V75" s="2"/>
    </row>
    <row r="76" spans="9:22" ht="18.5" x14ac:dyDescent="0.45">
      <c r="V76" s="2"/>
    </row>
    <row r="77" spans="9:22" ht="18.5" x14ac:dyDescent="0.45">
      <c r="V77" s="2"/>
    </row>
    <row r="78" spans="9:22" ht="18.5" x14ac:dyDescent="0.45">
      <c r="V78" s="2"/>
    </row>
    <row r="79" spans="9:22" ht="18.5" x14ac:dyDescent="0.45">
      <c r="V79" s="2"/>
    </row>
    <row r="80" spans="9:22" ht="18.5" x14ac:dyDescent="0.45">
      <c r="V80" s="2"/>
    </row>
    <row r="81" spans="22:22" ht="18.5" x14ac:dyDescent="0.45">
      <c r="V81" s="2"/>
    </row>
    <row r="82" spans="22:22" ht="18.5" x14ac:dyDescent="0.45">
      <c r="V82" s="2"/>
    </row>
    <row r="83" spans="22:22" ht="18.5" x14ac:dyDescent="0.45">
      <c r="V83" s="2"/>
    </row>
    <row r="84" spans="22:22" ht="18.5" x14ac:dyDescent="0.45">
      <c r="V84" s="2"/>
    </row>
    <row r="85" spans="22:22" ht="18.5" x14ac:dyDescent="0.45">
      <c r="V85" s="2"/>
    </row>
    <row r="86" spans="22:22" ht="18.5" x14ac:dyDescent="0.45">
      <c r="V86" s="2"/>
    </row>
    <row r="87" spans="22:22" ht="18.5" x14ac:dyDescent="0.45">
      <c r="V87" s="2"/>
    </row>
    <row r="88" spans="22:22" ht="18.5" x14ac:dyDescent="0.45">
      <c r="V88" s="2"/>
    </row>
    <row r="89" spans="22:22" ht="18.5" x14ac:dyDescent="0.45">
      <c r="V89" s="2"/>
    </row>
    <row r="90" spans="22:22" ht="18.5" x14ac:dyDescent="0.45">
      <c r="V90" s="2"/>
    </row>
    <row r="91" spans="22:22" ht="18.5" x14ac:dyDescent="0.45">
      <c r="V91" s="2"/>
    </row>
  </sheetData>
  <mergeCells count="2">
    <mergeCell ref="N2:P2"/>
    <mergeCell ref="J4:U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2025-09-19T04:38:13Z</dcterms:created>
  <dcterms:modified xsi:type="dcterms:W3CDTF">2026-03-03T11:49:37Z</dcterms:modified>
</cp:coreProperties>
</file>