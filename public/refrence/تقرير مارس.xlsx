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2026بورتسودان\"/>
    </mc:Choice>
  </mc:AlternateContent>
  <xr:revisionPtr revIDLastSave="0" documentId="13_ncr:1_{42FE6887-1397-4BF6-B59B-BA0301343037}" xr6:coauthVersionLast="47" xr6:coauthVersionMax="47" xr10:uidLastSave="{00000000-0000-0000-0000-000000000000}"/>
  <bookViews>
    <workbookView xWindow="-110" yWindow="-110" windowWidth="19420" windowHeight="126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1" l="1"/>
  <c r="J41" i="1"/>
  <c r="H41" i="1"/>
  <c r="G41" i="1"/>
  <c r="F41" i="1"/>
  <c r="E41" i="1"/>
  <c r="D41" i="1"/>
  <c r="L35" i="1"/>
  <c r="L36" i="1"/>
  <c r="L37" i="1"/>
  <c r="L38" i="1"/>
  <c r="L39" i="1"/>
  <c r="L34" i="1"/>
  <c r="L23" i="1"/>
  <c r="L24" i="1"/>
  <c r="L25" i="1"/>
  <c r="L26" i="1"/>
  <c r="L27" i="1"/>
  <c r="L20" i="1"/>
  <c r="L21" i="1"/>
  <c r="L22" i="1"/>
  <c r="I28" i="1"/>
  <c r="L8" i="1"/>
  <c r="L9" i="1"/>
  <c r="L10" i="1"/>
  <c r="L11" i="1"/>
  <c r="L12" i="1"/>
  <c r="L13" i="1"/>
  <c r="L14" i="1"/>
  <c r="L15" i="1"/>
  <c r="L17" i="1"/>
  <c r="L18" i="1"/>
  <c r="L19" i="1"/>
  <c r="L7" i="1"/>
  <c r="D28" i="1"/>
  <c r="E28" i="1"/>
  <c r="F28" i="1"/>
  <c r="G28" i="1"/>
  <c r="H28" i="1"/>
  <c r="K28" i="1"/>
  <c r="J28" i="1"/>
  <c r="L41" i="1" l="1"/>
  <c r="L28" i="1"/>
</calcChain>
</file>

<file path=xl/sharedStrings.xml><?xml version="1.0" encoding="utf-8"?>
<sst xmlns="http://schemas.openxmlformats.org/spreadsheetml/2006/main" count="48" uniqueCount="37">
  <si>
    <t>الملاحظات</t>
  </si>
  <si>
    <t>تقرير //1</t>
  </si>
  <si>
    <t>الصف</t>
  </si>
  <si>
    <t>الأول بنات</t>
  </si>
  <si>
    <t>الثاني بنات</t>
  </si>
  <si>
    <t>الثالث بنات</t>
  </si>
  <si>
    <t>المبلغ المستحق</t>
  </si>
  <si>
    <t>القسط الاول</t>
  </si>
  <si>
    <t>القسط الثاني</t>
  </si>
  <si>
    <t xml:space="preserve">الرابع بنات </t>
  </si>
  <si>
    <t>الخامس بنات</t>
  </si>
  <si>
    <t>السادس بنات</t>
  </si>
  <si>
    <t>الاول متوسط</t>
  </si>
  <si>
    <t>الثاني متوسط</t>
  </si>
  <si>
    <t>الثالث متوسط</t>
  </si>
  <si>
    <t>الاول بنين</t>
  </si>
  <si>
    <t>الثاني بنين</t>
  </si>
  <si>
    <t>الثالث بنين</t>
  </si>
  <si>
    <t>الرابع بنين</t>
  </si>
  <si>
    <t>الخامس بنين</t>
  </si>
  <si>
    <t>السادس بنين</t>
  </si>
  <si>
    <t xml:space="preserve">الاول متوسط </t>
  </si>
  <si>
    <t>التسجيل</t>
  </si>
  <si>
    <t>كتب</t>
  </si>
  <si>
    <t>زي</t>
  </si>
  <si>
    <t>القسط الثالث</t>
  </si>
  <si>
    <t>من أول الفترة الى 31/3/2026</t>
  </si>
  <si>
    <t xml:space="preserve">المتبقي </t>
  </si>
  <si>
    <t>قسط رابع</t>
  </si>
  <si>
    <t>المتبقي</t>
  </si>
  <si>
    <t>الاول متوسط بنات</t>
  </si>
  <si>
    <t>الثاني متوسط بنات</t>
  </si>
  <si>
    <t>الثالث متوسط بنات</t>
  </si>
  <si>
    <t>الاول متوسط  بنين</t>
  </si>
  <si>
    <t>الثاني متوسط بنين</t>
  </si>
  <si>
    <t>الثالث متوسط بنين</t>
  </si>
  <si>
    <t xml:space="preserve">المتوسط/بنين وبنات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</si>
</sst>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 val="double"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/>
    <xf numFmtId="0" fontId="3" fillId="3" borderId="1" xfId="0" applyFont="1" applyFill="1" applyBorder="1"/>
    <xf numFmtId="164" fontId="3" fillId="0" borderId="1" xfId="1" applyNumberFormat="1" applyFont="1" applyBorder="1"/>
    <xf numFmtId="164" fontId="3" fillId="0" borderId="0" xfId="1" applyNumberFormat="1" applyFont="1"/>
    <xf numFmtId="0" fontId="3" fillId="2" borderId="1" xfId="0" applyFont="1" applyFill="1" applyBorder="1"/>
    <xf numFmtId="164" fontId="3" fillId="4" borderId="1" xfId="1" applyNumberFormat="1" applyFont="1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0" fillId="0" borderId="0" xfId="1" applyNumberFormat="1" applyFont="1"/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42"/>
  <sheetViews>
    <sheetView rightToLeft="1" tabSelected="1" topLeftCell="C21" workbookViewId="0">
      <selection activeCell="H46" sqref="H46"/>
    </sheetView>
  </sheetViews>
  <sheetFormatPr defaultRowHeight="14.5" x14ac:dyDescent="0.35"/>
  <cols>
    <col min="2" max="2" width="5.7265625" customWidth="1"/>
    <col min="3" max="3" width="14" customWidth="1"/>
    <col min="4" max="6" width="14.6328125" customWidth="1"/>
    <col min="7" max="12" width="15.36328125" customWidth="1"/>
    <col min="13" max="13" width="17.90625" customWidth="1"/>
  </cols>
  <sheetData>
    <row r="3" spans="3:13" x14ac:dyDescent="0.35">
      <c r="F3" s="12" t="s">
        <v>1</v>
      </c>
      <c r="G3" s="12"/>
      <c r="H3" s="3"/>
      <c r="I3" s="3"/>
      <c r="J3" s="3"/>
      <c r="K3" s="3"/>
      <c r="L3" s="3"/>
      <c r="M3" s="2"/>
    </row>
    <row r="4" spans="3:13" x14ac:dyDescent="0.35">
      <c r="F4" s="11" t="s">
        <v>26</v>
      </c>
      <c r="G4" s="11"/>
      <c r="H4" s="4"/>
      <c r="I4" s="4"/>
      <c r="J4" s="4"/>
      <c r="K4" s="4"/>
      <c r="L4" s="4"/>
    </row>
    <row r="6" spans="3:13" ht="15.5" x14ac:dyDescent="0.35">
      <c r="C6" s="5" t="s">
        <v>2</v>
      </c>
      <c r="D6" s="5" t="s">
        <v>6</v>
      </c>
      <c r="E6" s="5" t="s">
        <v>22</v>
      </c>
      <c r="F6" s="5" t="s">
        <v>7</v>
      </c>
      <c r="G6" s="5" t="s">
        <v>8</v>
      </c>
      <c r="H6" s="5" t="s">
        <v>25</v>
      </c>
      <c r="I6" s="5" t="s">
        <v>28</v>
      </c>
      <c r="J6" s="5" t="s">
        <v>23</v>
      </c>
      <c r="K6" s="5" t="s">
        <v>24</v>
      </c>
      <c r="L6" s="5" t="s">
        <v>27</v>
      </c>
      <c r="M6" s="5" t="s">
        <v>0</v>
      </c>
    </row>
    <row r="7" spans="3:13" x14ac:dyDescent="0.35">
      <c r="C7" s="6" t="s">
        <v>3</v>
      </c>
      <c r="D7" s="7">
        <v>4820000</v>
      </c>
      <c r="E7" s="7">
        <v>450000</v>
      </c>
      <c r="F7" s="7">
        <v>1020000</v>
      </c>
      <c r="G7" s="7">
        <v>690000</v>
      </c>
      <c r="H7" s="7"/>
      <c r="I7" s="7"/>
      <c r="J7" s="7">
        <v>280000</v>
      </c>
      <c r="K7" s="7">
        <v>280000</v>
      </c>
      <c r="L7" s="7">
        <f>(D7-E7-F7-G7-H7-I7-J7-K7)</f>
        <v>2100000</v>
      </c>
      <c r="M7" s="1"/>
    </row>
    <row r="8" spans="3:13" x14ac:dyDescent="0.35">
      <c r="C8" s="6" t="s">
        <v>4</v>
      </c>
      <c r="D8" s="7">
        <v>7465000</v>
      </c>
      <c r="E8" s="7">
        <v>700000</v>
      </c>
      <c r="F8" s="7">
        <v>1175000</v>
      </c>
      <c r="G8" s="7">
        <v>1565000</v>
      </c>
      <c r="H8" s="7">
        <v>100000</v>
      </c>
      <c r="I8" s="7"/>
      <c r="J8" s="7">
        <v>385000</v>
      </c>
      <c r="K8" s="7">
        <v>440000</v>
      </c>
      <c r="L8" s="7">
        <f t="shared" ref="L8:L27" si="0">(D8-E8-F8-G8-H8-I8-J8-K8)</f>
        <v>3100000</v>
      </c>
      <c r="M8" s="1"/>
    </row>
    <row r="9" spans="3:13" x14ac:dyDescent="0.35">
      <c r="C9" s="6" t="s">
        <v>5</v>
      </c>
      <c r="D9" s="7">
        <v>12700000</v>
      </c>
      <c r="E9" s="7">
        <v>1100000</v>
      </c>
      <c r="F9" s="7">
        <v>2666000</v>
      </c>
      <c r="G9" s="7">
        <v>2700000</v>
      </c>
      <c r="H9" s="7">
        <v>454000</v>
      </c>
      <c r="I9" s="7">
        <v>100000</v>
      </c>
      <c r="J9" s="7">
        <v>710000</v>
      </c>
      <c r="K9" s="7">
        <v>700000</v>
      </c>
      <c r="L9" s="7">
        <f t="shared" si="0"/>
        <v>4270000</v>
      </c>
      <c r="M9" s="1"/>
    </row>
    <row r="10" spans="3:13" x14ac:dyDescent="0.35">
      <c r="C10" s="6" t="s">
        <v>9</v>
      </c>
      <c r="D10" s="7">
        <v>8350000</v>
      </c>
      <c r="E10" s="7">
        <v>700000</v>
      </c>
      <c r="F10" s="7">
        <v>1815000</v>
      </c>
      <c r="G10" s="7">
        <v>1900000</v>
      </c>
      <c r="H10" s="7">
        <v>250000</v>
      </c>
      <c r="I10" s="7"/>
      <c r="J10" s="7">
        <v>490000</v>
      </c>
      <c r="K10" s="7">
        <v>490000</v>
      </c>
      <c r="L10" s="7">
        <f t="shared" si="0"/>
        <v>2705000</v>
      </c>
      <c r="M10" s="1"/>
    </row>
    <row r="11" spans="3:13" x14ac:dyDescent="0.35">
      <c r="C11" s="6" t="s">
        <v>10</v>
      </c>
      <c r="D11" s="7">
        <v>4290000</v>
      </c>
      <c r="E11" s="7">
        <v>500000</v>
      </c>
      <c r="F11" s="7">
        <v>990000</v>
      </c>
      <c r="G11" s="7">
        <v>750000</v>
      </c>
      <c r="H11" s="7"/>
      <c r="I11" s="7"/>
      <c r="J11" s="7">
        <v>260000</v>
      </c>
      <c r="K11" s="7">
        <v>275000</v>
      </c>
      <c r="L11" s="7">
        <f t="shared" si="0"/>
        <v>1515000</v>
      </c>
      <c r="M11" s="1"/>
    </row>
    <row r="12" spans="3:13" x14ac:dyDescent="0.35">
      <c r="C12" s="6" t="s">
        <v>11</v>
      </c>
      <c r="D12" s="7">
        <v>7600000</v>
      </c>
      <c r="E12" s="7">
        <v>650000</v>
      </c>
      <c r="F12" s="7">
        <v>1855000</v>
      </c>
      <c r="G12" s="7">
        <v>892500</v>
      </c>
      <c r="H12" s="7">
        <v>50000</v>
      </c>
      <c r="I12" s="7"/>
      <c r="J12" s="7">
        <v>420000</v>
      </c>
      <c r="K12" s="7">
        <v>420000</v>
      </c>
      <c r="L12" s="7">
        <f t="shared" si="0"/>
        <v>3312500</v>
      </c>
      <c r="M12" s="1"/>
    </row>
    <row r="13" spans="3:13" x14ac:dyDescent="0.35">
      <c r="C13" s="6" t="s">
        <v>12</v>
      </c>
      <c r="D13" s="7">
        <v>10355000</v>
      </c>
      <c r="E13" s="7">
        <v>850000</v>
      </c>
      <c r="F13" s="7">
        <v>2160000</v>
      </c>
      <c r="G13" s="7">
        <v>650000</v>
      </c>
      <c r="H13" s="7"/>
      <c r="I13" s="7"/>
      <c r="J13" s="7">
        <v>525000</v>
      </c>
      <c r="K13" s="7">
        <v>525000</v>
      </c>
      <c r="L13" s="7">
        <f t="shared" si="0"/>
        <v>5645000</v>
      </c>
      <c r="M13" s="1"/>
    </row>
    <row r="14" spans="3:13" x14ac:dyDescent="0.35">
      <c r="C14" s="6" t="s">
        <v>13</v>
      </c>
      <c r="D14" s="7">
        <v>14000000</v>
      </c>
      <c r="E14" s="7">
        <v>1000000</v>
      </c>
      <c r="F14" s="7">
        <v>3320000</v>
      </c>
      <c r="G14" s="7">
        <v>2960000</v>
      </c>
      <c r="H14" s="7">
        <v>150000</v>
      </c>
      <c r="I14" s="7"/>
      <c r="J14" s="7">
        <v>765000</v>
      </c>
      <c r="K14" s="7">
        <v>665000</v>
      </c>
      <c r="L14" s="7">
        <f t="shared" si="0"/>
        <v>5140000</v>
      </c>
      <c r="M14" s="1"/>
    </row>
    <row r="15" spans="3:13" x14ac:dyDescent="0.35">
      <c r="C15" s="6" t="s">
        <v>14</v>
      </c>
      <c r="D15" s="7">
        <v>10150000</v>
      </c>
      <c r="E15" s="7">
        <v>800000</v>
      </c>
      <c r="F15" s="7">
        <v>1490000</v>
      </c>
      <c r="G15" s="7">
        <v>1500000</v>
      </c>
      <c r="H15" s="7">
        <v>350000</v>
      </c>
      <c r="I15" s="7"/>
      <c r="J15" s="7">
        <v>560000</v>
      </c>
      <c r="K15" s="7">
        <v>490000</v>
      </c>
      <c r="L15" s="7">
        <f t="shared" si="0"/>
        <v>4960000</v>
      </c>
      <c r="M15" s="1"/>
    </row>
    <row r="16" spans="3:13" x14ac:dyDescent="0.35">
      <c r="C16" s="6"/>
      <c r="D16" s="7"/>
      <c r="E16" s="7"/>
      <c r="F16" s="7"/>
      <c r="G16" s="7"/>
      <c r="H16" s="7"/>
      <c r="I16" s="7"/>
      <c r="J16" s="7"/>
      <c r="K16" s="7"/>
      <c r="L16" s="7"/>
      <c r="M16" s="1"/>
    </row>
    <row r="17" spans="3:13" x14ac:dyDescent="0.35">
      <c r="C17" s="9" t="s">
        <v>15</v>
      </c>
      <c r="D17" s="7">
        <v>15540000</v>
      </c>
      <c r="E17" s="7">
        <v>1350000</v>
      </c>
      <c r="F17" s="7">
        <v>3685000</v>
      </c>
      <c r="G17" s="7">
        <v>3050000</v>
      </c>
      <c r="H17" s="7">
        <v>450000</v>
      </c>
      <c r="I17" s="7"/>
      <c r="J17" s="7">
        <v>840000</v>
      </c>
      <c r="K17" s="7">
        <v>840000</v>
      </c>
      <c r="L17" s="7">
        <f t="shared" si="0"/>
        <v>5325000</v>
      </c>
      <c r="M17" s="1"/>
    </row>
    <row r="18" spans="3:13" x14ac:dyDescent="0.35">
      <c r="C18" s="9" t="s">
        <v>16</v>
      </c>
      <c r="D18" s="7">
        <v>14150000</v>
      </c>
      <c r="E18" s="7">
        <v>1350000</v>
      </c>
      <c r="F18" s="7">
        <v>2445000</v>
      </c>
      <c r="G18" s="7">
        <v>2490000</v>
      </c>
      <c r="H18" s="7">
        <v>790000</v>
      </c>
      <c r="I18" s="7"/>
      <c r="J18" s="7">
        <v>810000</v>
      </c>
      <c r="K18" s="7">
        <v>810000</v>
      </c>
      <c r="L18" s="7">
        <f t="shared" si="0"/>
        <v>5455000</v>
      </c>
      <c r="M18" s="1"/>
    </row>
    <row r="19" spans="3:13" x14ac:dyDescent="0.35">
      <c r="C19" s="9" t="s">
        <v>17</v>
      </c>
      <c r="D19" s="7">
        <v>21040000</v>
      </c>
      <c r="E19" s="7">
        <v>1850000</v>
      </c>
      <c r="F19" s="7">
        <v>3640000</v>
      </c>
      <c r="G19" s="7">
        <v>3450000</v>
      </c>
      <c r="H19" s="7">
        <v>450000</v>
      </c>
      <c r="I19" s="7"/>
      <c r="J19" s="7">
        <v>1095000</v>
      </c>
      <c r="K19" s="7">
        <v>1085000</v>
      </c>
      <c r="L19" s="7">
        <f t="shared" si="0"/>
        <v>9470000</v>
      </c>
      <c r="M19" s="1"/>
    </row>
    <row r="20" spans="3:13" x14ac:dyDescent="0.35">
      <c r="C20" s="9" t="s">
        <v>18</v>
      </c>
      <c r="D20" s="7">
        <v>23470000</v>
      </c>
      <c r="E20" s="7">
        <v>2050000</v>
      </c>
      <c r="F20" s="7">
        <v>3830000</v>
      </c>
      <c r="G20" s="7">
        <v>3740000</v>
      </c>
      <c r="H20" s="7">
        <v>490000</v>
      </c>
      <c r="I20" s="7"/>
      <c r="J20" s="7">
        <v>1215000</v>
      </c>
      <c r="K20" s="7">
        <v>1215000</v>
      </c>
      <c r="L20" s="7">
        <f t="shared" si="0"/>
        <v>10930000</v>
      </c>
      <c r="M20" s="1"/>
    </row>
    <row r="21" spans="3:13" x14ac:dyDescent="0.35">
      <c r="C21" s="9" t="s">
        <v>19</v>
      </c>
      <c r="D21" s="7">
        <v>19350000</v>
      </c>
      <c r="E21" s="7">
        <v>1700000</v>
      </c>
      <c r="F21" s="7">
        <v>4285000</v>
      </c>
      <c r="G21" s="7">
        <v>3800000</v>
      </c>
      <c r="H21" s="7">
        <v>500000</v>
      </c>
      <c r="I21" s="7">
        <v>100000</v>
      </c>
      <c r="J21" s="7">
        <v>1005000</v>
      </c>
      <c r="K21" s="7">
        <v>1015000</v>
      </c>
      <c r="L21" s="7">
        <f t="shared" si="0"/>
        <v>6945000</v>
      </c>
      <c r="M21" s="1"/>
    </row>
    <row r="22" spans="3:13" x14ac:dyDescent="0.35">
      <c r="C22" s="9" t="s">
        <v>20</v>
      </c>
      <c r="D22" s="7">
        <v>30280000</v>
      </c>
      <c r="E22" s="7">
        <v>2600000</v>
      </c>
      <c r="F22" s="7">
        <v>5880000</v>
      </c>
      <c r="G22" s="7">
        <v>2900000</v>
      </c>
      <c r="H22" s="7">
        <v>200000</v>
      </c>
      <c r="I22" s="7"/>
      <c r="J22" s="7">
        <v>1670000</v>
      </c>
      <c r="K22" s="7">
        <v>1625000</v>
      </c>
      <c r="L22" s="10">
        <f t="shared" si="0"/>
        <v>15405000</v>
      </c>
      <c r="M22" s="1"/>
    </row>
    <row r="23" spans="3:13" x14ac:dyDescent="0.35">
      <c r="C23" s="9" t="s">
        <v>21</v>
      </c>
      <c r="D23" s="7">
        <v>25425000</v>
      </c>
      <c r="E23" s="7">
        <v>1900000</v>
      </c>
      <c r="F23" s="7">
        <v>5805000</v>
      </c>
      <c r="G23" s="7">
        <v>940000</v>
      </c>
      <c r="H23" s="7">
        <v>100000</v>
      </c>
      <c r="I23" s="7"/>
      <c r="J23" s="7">
        <v>1370000</v>
      </c>
      <c r="K23" s="7">
        <v>1305000</v>
      </c>
      <c r="L23" s="10">
        <f t="shared" si="0"/>
        <v>14005000</v>
      </c>
      <c r="M23" s="1"/>
    </row>
    <row r="24" spans="3:13" x14ac:dyDescent="0.35">
      <c r="C24" s="9" t="s">
        <v>13</v>
      </c>
      <c r="D24" s="7">
        <v>22505000</v>
      </c>
      <c r="E24" s="7">
        <v>1700000</v>
      </c>
      <c r="F24" s="7">
        <v>5205000</v>
      </c>
      <c r="G24" s="7">
        <v>3975000</v>
      </c>
      <c r="H24" s="7">
        <v>1050000</v>
      </c>
      <c r="I24" s="7"/>
      <c r="J24" s="7">
        <v>1215000</v>
      </c>
      <c r="K24" s="7">
        <v>1120000</v>
      </c>
      <c r="L24" s="7">
        <f t="shared" si="0"/>
        <v>8240000</v>
      </c>
      <c r="M24" s="1"/>
    </row>
    <row r="25" spans="3:13" x14ac:dyDescent="0.35">
      <c r="C25" s="9" t="s">
        <v>14</v>
      </c>
      <c r="D25" s="7">
        <v>20905000</v>
      </c>
      <c r="E25" s="7">
        <v>1650000</v>
      </c>
      <c r="F25" s="7">
        <v>4935000</v>
      </c>
      <c r="G25" s="7">
        <v>2310000</v>
      </c>
      <c r="H25" s="7">
        <v>150000</v>
      </c>
      <c r="I25" s="7"/>
      <c r="J25" s="7">
        <v>1150000</v>
      </c>
      <c r="K25" s="7">
        <v>995000</v>
      </c>
      <c r="L25" s="7">
        <f t="shared" si="0"/>
        <v>9715000</v>
      </c>
      <c r="M25" s="1"/>
    </row>
    <row r="26" spans="3:13" x14ac:dyDescent="0.35">
      <c r="C26" s="9"/>
      <c r="D26" s="7"/>
      <c r="E26" s="7"/>
      <c r="F26" s="7"/>
      <c r="G26" s="7"/>
      <c r="H26" s="7"/>
      <c r="I26" s="7"/>
      <c r="J26" s="7"/>
      <c r="K26" s="7"/>
      <c r="L26" s="7">
        <f t="shared" si="0"/>
        <v>0</v>
      </c>
      <c r="M26" s="1"/>
    </row>
    <row r="27" spans="3:13" x14ac:dyDescent="0.35">
      <c r="C27" s="1"/>
      <c r="D27" s="7"/>
      <c r="E27" s="7"/>
      <c r="F27" s="7"/>
      <c r="G27" s="7"/>
      <c r="H27" s="7"/>
      <c r="I27" s="7"/>
      <c r="J27" s="7"/>
      <c r="K27" s="7"/>
      <c r="L27" s="7">
        <f t="shared" si="0"/>
        <v>0</v>
      </c>
      <c r="M27" s="1"/>
    </row>
    <row r="28" spans="3:13" x14ac:dyDescent="0.35">
      <c r="C28" s="1"/>
      <c r="D28" s="7">
        <f t="shared" ref="D28:K28" si="1">SUM(D7:D27)</f>
        <v>272395000</v>
      </c>
      <c r="E28" s="7">
        <f t="shared" si="1"/>
        <v>22900000</v>
      </c>
      <c r="F28" s="7">
        <f t="shared" si="1"/>
        <v>56201000</v>
      </c>
      <c r="G28" s="7">
        <f t="shared" si="1"/>
        <v>40262500</v>
      </c>
      <c r="H28" s="7">
        <f t="shared" si="1"/>
        <v>5534000</v>
      </c>
      <c r="I28" s="7">
        <f>SUM(I7:I27)</f>
        <v>200000</v>
      </c>
      <c r="J28" s="7">
        <f t="shared" si="1"/>
        <v>14765000</v>
      </c>
      <c r="K28" s="7">
        <f t="shared" si="1"/>
        <v>14295000</v>
      </c>
      <c r="L28" s="7">
        <f>SUM(L7:L27)</f>
        <v>118237500</v>
      </c>
      <c r="M28" s="1"/>
    </row>
    <row r="29" spans="3:13" x14ac:dyDescent="0.35">
      <c r="J29" s="8"/>
    </row>
    <row r="30" spans="3:13" ht="26" x14ac:dyDescent="0.6">
      <c r="G30" s="15" t="s">
        <v>36</v>
      </c>
      <c r="H30" s="15"/>
      <c r="I30" s="15"/>
      <c r="J30" s="8"/>
    </row>
    <row r="31" spans="3:13" x14ac:dyDescent="0.35">
      <c r="J31" s="8"/>
    </row>
    <row r="33" spans="3:13" ht="15.5" x14ac:dyDescent="0.35">
      <c r="C33" s="5" t="s">
        <v>2</v>
      </c>
      <c r="D33" s="5" t="s">
        <v>6</v>
      </c>
      <c r="E33" s="5" t="s">
        <v>22</v>
      </c>
      <c r="F33" s="5" t="s">
        <v>7</v>
      </c>
      <c r="G33" s="5" t="s">
        <v>8</v>
      </c>
      <c r="H33" s="5" t="s">
        <v>25</v>
      </c>
      <c r="I33" s="5" t="s">
        <v>28</v>
      </c>
      <c r="J33" s="5" t="s">
        <v>23</v>
      </c>
      <c r="K33" s="13" t="s">
        <v>24</v>
      </c>
      <c r="L33" s="13" t="s">
        <v>29</v>
      </c>
      <c r="M33" s="1"/>
    </row>
    <row r="34" spans="3:13" x14ac:dyDescent="0.35">
      <c r="C34" s="6" t="s">
        <v>30</v>
      </c>
      <c r="D34" s="7">
        <v>10355000</v>
      </c>
      <c r="E34" s="7">
        <v>850000</v>
      </c>
      <c r="F34" s="7">
        <v>2160000</v>
      </c>
      <c r="G34" s="7">
        <v>650000</v>
      </c>
      <c r="H34" s="7"/>
      <c r="I34" s="7"/>
      <c r="J34" s="7">
        <v>525000</v>
      </c>
      <c r="K34" s="7">
        <v>525000</v>
      </c>
      <c r="L34" s="7">
        <f>(D34-E34-F34-G34-H34-J34-K34)</f>
        <v>5645000</v>
      </c>
      <c r="M34" s="1"/>
    </row>
    <row r="35" spans="3:13" x14ac:dyDescent="0.35">
      <c r="C35" s="9" t="s">
        <v>31</v>
      </c>
      <c r="D35" s="7">
        <v>14000000</v>
      </c>
      <c r="E35" s="7">
        <v>1000000</v>
      </c>
      <c r="F35" s="7">
        <v>3320000</v>
      </c>
      <c r="G35" s="7">
        <v>2960000</v>
      </c>
      <c r="H35" s="7">
        <v>150000</v>
      </c>
      <c r="I35" s="7"/>
      <c r="J35" s="7">
        <v>765000</v>
      </c>
      <c r="K35" s="7">
        <v>665000</v>
      </c>
      <c r="L35" s="7">
        <f t="shared" ref="L35:L39" si="2">(D35-E35-F35-G35-H35-J35-K35)</f>
        <v>5140000</v>
      </c>
      <c r="M35" s="1"/>
    </row>
    <row r="36" spans="3:13" x14ac:dyDescent="0.35">
      <c r="C36" s="9" t="s">
        <v>32</v>
      </c>
      <c r="D36" s="7">
        <v>10150000</v>
      </c>
      <c r="E36" s="7">
        <v>800000</v>
      </c>
      <c r="F36" s="7">
        <v>1490000</v>
      </c>
      <c r="G36" s="7">
        <v>1500000</v>
      </c>
      <c r="H36" s="7">
        <v>350000</v>
      </c>
      <c r="I36" s="7"/>
      <c r="J36" s="7">
        <v>560000</v>
      </c>
      <c r="K36" s="7">
        <v>490000</v>
      </c>
      <c r="L36" s="7">
        <f t="shared" si="2"/>
        <v>4960000</v>
      </c>
      <c r="M36" s="1"/>
    </row>
    <row r="37" spans="3:13" x14ac:dyDescent="0.35">
      <c r="C37" s="9" t="s">
        <v>33</v>
      </c>
      <c r="D37" s="7">
        <v>25425000</v>
      </c>
      <c r="E37" s="7">
        <v>1900000</v>
      </c>
      <c r="F37" s="7">
        <v>5805000</v>
      </c>
      <c r="G37" s="7">
        <v>940000</v>
      </c>
      <c r="H37" s="7">
        <v>100000</v>
      </c>
      <c r="I37" s="7"/>
      <c r="J37" s="7">
        <v>1370000</v>
      </c>
      <c r="K37" s="7">
        <v>1305000</v>
      </c>
      <c r="L37" s="7">
        <f t="shared" si="2"/>
        <v>14005000</v>
      </c>
      <c r="M37" s="1"/>
    </row>
    <row r="38" spans="3:13" x14ac:dyDescent="0.35">
      <c r="C38" s="9" t="s">
        <v>34</v>
      </c>
      <c r="D38" s="7">
        <v>22505000</v>
      </c>
      <c r="E38" s="7">
        <v>1700000</v>
      </c>
      <c r="F38" s="7">
        <v>5205000</v>
      </c>
      <c r="G38" s="7">
        <v>3975000</v>
      </c>
      <c r="H38" s="7">
        <v>1050000</v>
      </c>
      <c r="I38" s="7"/>
      <c r="J38" s="7">
        <v>1215000</v>
      </c>
      <c r="K38" s="7">
        <v>1120000</v>
      </c>
      <c r="L38" s="7">
        <f t="shared" si="2"/>
        <v>8240000</v>
      </c>
      <c r="M38" s="1"/>
    </row>
    <row r="39" spans="3:13" x14ac:dyDescent="0.35">
      <c r="C39" s="9" t="s">
        <v>35</v>
      </c>
      <c r="D39" s="7">
        <v>20905000</v>
      </c>
      <c r="E39" s="7">
        <v>1650000</v>
      </c>
      <c r="F39" s="7">
        <v>4935000</v>
      </c>
      <c r="G39" s="7">
        <v>2310000</v>
      </c>
      <c r="H39" s="7">
        <v>150000</v>
      </c>
      <c r="I39" s="7"/>
      <c r="J39" s="7">
        <v>1150000</v>
      </c>
      <c r="K39" s="7">
        <v>995000</v>
      </c>
      <c r="L39" s="7">
        <f t="shared" si="2"/>
        <v>9715000</v>
      </c>
      <c r="M39" s="1"/>
    </row>
    <row r="40" spans="3:13" x14ac:dyDescent="0.35">
      <c r="C40" s="1"/>
      <c r="D40" s="7"/>
      <c r="E40" s="7"/>
      <c r="F40" s="7"/>
      <c r="G40" s="7"/>
      <c r="H40" s="7"/>
      <c r="I40" s="7"/>
      <c r="J40" s="7"/>
      <c r="K40" s="7"/>
      <c r="L40" s="7"/>
      <c r="M40" s="1"/>
    </row>
    <row r="41" spans="3:13" x14ac:dyDescent="0.35">
      <c r="C41" s="1"/>
      <c r="D41" s="7">
        <f>SUM(D34:D40)</f>
        <v>103340000</v>
      </c>
      <c r="E41" s="7">
        <f>SUM(E34:E40)</f>
        <v>7900000</v>
      </c>
      <c r="F41" s="7">
        <f>SUM(F34:F40)</f>
        <v>22915000</v>
      </c>
      <c r="G41" s="7">
        <f>SUM(G34:G40)</f>
        <v>12335000</v>
      </c>
      <c r="H41" s="7">
        <f>SUM(H34:H40)</f>
        <v>1800000</v>
      </c>
      <c r="I41" s="7"/>
      <c r="J41" s="7">
        <f>SUM(J34:J40)</f>
        <v>5585000</v>
      </c>
      <c r="K41" s="7">
        <f>SUM(K34:K40)</f>
        <v>5100000</v>
      </c>
      <c r="L41" s="7">
        <f>SUM(L34:L40)</f>
        <v>47705000</v>
      </c>
      <c r="M41" s="1"/>
    </row>
    <row r="42" spans="3:13" x14ac:dyDescent="0.35">
      <c r="E42" s="14"/>
      <c r="F42" s="14"/>
      <c r="G42" s="14"/>
      <c r="H42" s="14"/>
      <c r="I42" s="14"/>
      <c r="J42" s="14"/>
      <c r="K42" s="14"/>
      <c r="L42" s="14"/>
    </row>
  </sheetData>
  <mergeCells count="3">
    <mergeCell ref="F4:G4"/>
    <mergeCell ref="F3:G3"/>
    <mergeCell ref="G30:I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2026-04-05T13:36:06Z</dcterms:modified>
</cp:coreProperties>
</file>