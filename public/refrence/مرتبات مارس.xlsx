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الخرطوم 2026\"/>
    </mc:Choice>
  </mc:AlternateContent>
  <xr:revisionPtr revIDLastSave="0" documentId="13_ncr:1_{1D8CC96B-D0EF-4BAE-8A79-C359CF2DCEBB}" xr6:coauthVersionLast="47" xr6:coauthVersionMax="47" xr10:uidLastSave="{00000000-0000-0000-0000-000000000000}"/>
  <bookViews>
    <workbookView xWindow="-110" yWindow="-110" windowWidth="19420" windowHeight="12660" xr2:uid="{5E710215-185B-4DBF-A974-D592B7D1D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T16" i="1"/>
  <c r="O16" i="1"/>
  <c r="P19" i="1"/>
  <c r="R19" i="1"/>
  <c r="K19" i="1"/>
  <c r="O19" i="1" s="1"/>
  <c r="Q19" i="1"/>
  <c r="O18" i="1"/>
  <c r="T18" i="1" s="1"/>
  <c r="O17" i="1"/>
  <c r="T17" i="1" s="1"/>
  <c r="O15" i="1"/>
  <c r="T15" i="1" s="1"/>
  <c r="O14" i="1"/>
  <c r="T14" i="1" s="1"/>
  <c r="O13" i="1"/>
  <c r="T13" i="1" s="1"/>
  <c r="O12" i="1"/>
  <c r="T12" i="1" s="1"/>
  <c r="O11" i="1"/>
  <c r="T11" i="1" s="1"/>
  <c r="O10" i="1"/>
  <c r="T10" i="1" s="1"/>
  <c r="O9" i="1"/>
  <c r="T9" i="1" s="1"/>
  <c r="O8" i="1"/>
  <c r="T8" i="1" s="1"/>
  <c r="O7" i="1"/>
  <c r="T7" i="1" s="1"/>
  <c r="O6" i="1"/>
  <c r="T6" i="1" s="1"/>
  <c r="T19" i="1" l="1"/>
</calcChain>
</file>

<file path=xl/sharedStrings.xml><?xml version="1.0" encoding="utf-8"?>
<sst xmlns="http://schemas.openxmlformats.org/spreadsheetml/2006/main" count="44" uniqueCount="38">
  <si>
    <t>الأستحقاقات</t>
  </si>
  <si>
    <t>الأستقطاعات</t>
  </si>
  <si>
    <t>الرقم</t>
  </si>
  <si>
    <t>الأسم</t>
  </si>
  <si>
    <t>الوظيفة</t>
  </si>
  <si>
    <t xml:space="preserve">جملة الراتب </t>
  </si>
  <si>
    <t>علاوة تانية</t>
  </si>
  <si>
    <t>الحافز</t>
  </si>
  <si>
    <t>جملة الأستحقاق</t>
  </si>
  <si>
    <t xml:space="preserve">الآجازة </t>
  </si>
  <si>
    <t>اخرى</t>
  </si>
  <si>
    <t>الصافي</t>
  </si>
  <si>
    <t>التوقيع</t>
  </si>
  <si>
    <t>عامل</t>
  </si>
  <si>
    <t>الجملة</t>
  </si>
  <si>
    <t>بسم الله الرحمن الرحيم</t>
  </si>
  <si>
    <t>مدرسة الأمام الشافعي /شرق النيل</t>
  </si>
  <si>
    <t xml:space="preserve">هيام حامد </t>
  </si>
  <si>
    <t>مآب ادم النور</t>
  </si>
  <si>
    <t xml:space="preserve">معلم </t>
  </si>
  <si>
    <t>هادية محمد</t>
  </si>
  <si>
    <t>عرفة خيرالله</t>
  </si>
  <si>
    <t>سلفية</t>
  </si>
  <si>
    <t>اقساط</t>
  </si>
  <si>
    <t>المدير الإداري</t>
  </si>
  <si>
    <t>المحاسب الداخلي</t>
  </si>
  <si>
    <t>هيام حامد ........</t>
  </si>
  <si>
    <t>عثمان احمد .......</t>
  </si>
  <si>
    <t>سعد عبدالحميد</t>
  </si>
  <si>
    <t>بثينة سعيد البدوي</t>
  </si>
  <si>
    <t xml:space="preserve">مصطفى احمد حسن </t>
  </si>
  <si>
    <t>ميادة  زيدان</t>
  </si>
  <si>
    <t>مآب زيدان</t>
  </si>
  <si>
    <t>سناء حسين علي</t>
  </si>
  <si>
    <t>مرتبات فبراير</t>
  </si>
  <si>
    <t>اداري</t>
  </si>
  <si>
    <t>مدير</t>
  </si>
  <si>
    <t>بدل ترحيل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</si>
</sst>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4" xfId="0" applyFill="1" applyBorder="1"/>
    <xf numFmtId="0" fontId="0" fillId="3" borderId="4" xfId="0" applyFill="1" applyBorder="1"/>
    <xf numFmtId="0" fontId="2" fillId="2" borderId="4" xfId="0" applyFont="1" applyFill="1" applyBorder="1"/>
    <xf numFmtId="0" fontId="0" fillId="4" borderId="4" xfId="0" applyFill="1" applyBorder="1"/>
    <xf numFmtId="0" fontId="2" fillId="4" borderId="4" xfId="0" applyFont="1" applyFill="1" applyBorder="1"/>
    <xf numFmtId="164" fontId="2" fillId="4" borderId="4" xfId="1" applyNumberFormat="1" applyFont="1" applyFill="1" applyBorder="1"/>
    <xf numFmtId="164" fontId="2" fillId="2" borderId="4" xfId="0" applyNumberFormat="1" applyFont="1" applyFill="1" applyBorder="1"/>
    <xf numFmtId="0" fontId="4" fillId="0" borderId="4" xfId="0" applyFont="1" applyBorder="1"/>
    <xf numFmtId="0" fontId="5" fillId="0" borderId="4" xfId="0" applyFont="1" applyBorder="1"/>
    <xf numFmtId="164" fontId="2" fillId="0" borderId="4" xfId="1" applyNumberFormat="1" applyFont="1" applyBorder="1"/>
    <xf numFmtId="0" fontId="0" fillId="0" borderId="4" xfId="0" applyBorder="1"/>
    <xf numFmtId="0" fontId="4" fillId="4" borderId="4" xfId="0" applyFont="1" applyFill="1" applyBorder="1"/>
    <xf numFmtId="164" fontId="2" fillId="2" borderId="4" xfId="1" applyNumberFormat="1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4" xfId="0" applyFont="1" applyBorder="1"/>
    <xf numFmtId="164" fontId="2" fillId="5" borderId="4" xfId="1" applyNumberFormat="1" applyFont="1" applyFill="1" applyBorder="1"/>
    <xf numFmtId="0" fontId="8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5D74-D6BA-456F-93CE-C2E47564D435}">
  <dimension ref="H1:W23"/>
  <sheetViews>
    <sheetView rightToLeft="1" tabSelected="1" topLeftCell="E5" workbookViewId="0">
      <selection activeCell="N26" sqref="N26"/>
    </sheetView>
  </sheetViews>
  <sheetFormatPr defaultRowHeight="14.5" x14ac:dyDescent="0.35"/>
  <cols>
    <col min="8" max="8" width="7.36328125" customWidth="1"/>
    <col min="9" max="9" width="14.08984375" customWidth="1"/>
    <col min="11" max="11" width="10.1796875" customWidth="1"/>
    <col min="15" max="15" width="10.6328125" customWidth="1"/>
    <col min="16" max="16" width="11.1796875" bestFit="1" customWidth="1"/>
    <col min="17" max="17" width="10.54296875" customWidth="1"/>
    <col min="18" max="18" width="10.1796875" bestFit="1" customWidth="1"/>
    <col min="20" max="20" width="10.6328125" customWidth="1"/>
  </cols>
  <sheetData>
    <row r="1" spans="8:23" x14ac:dyDescent="0.35">
      <c r="M1" s="28" t="s">
        <v>15</v>
      </c>
      <c r="N1" s="28"/>
    </row>
    <row r="2" spans="8:23" ht="21" x14ac:dyDescent="0.5">
      <c r="M2" s="16" t="s">
        <v>16</v>
      </c>
      <c r="N2" s="14"/>
      <c r="O2" s="14"/>
    </row>
    <row r="3" spans="8:23" ht="18.5" x14ac:dyDescent="0.45">
      <c r="M3" s="15" t="s">
        <v>34</v>
      </c>
    </row>
    <row r="4" spans="8:23" x14ac:dyDescent="0.35">
      <c r="H4" s="21" t="s">
        <v>0</v>
      </c>
      <c r="I4" s="22"/>
      <c r="J4" s="22"/>
      <c r="K4" s="22"/>
      <c r="L4" s="22"/>
      <c r="M4" s="22"/>
      <c r="N4" s="23"/>
      <c r="O4" s="1"/>
      <c r="P4" s="21" t="s">
        <v>1</v>
      </c>
      <c r="Q4" s="22"/>
      <c r="R4" s="22"/>
      <c r="S4" s="22"/>
      <c r="T4" s="23"/>
      <c r="U4" s="2"/>
    </row>
    <row r="5" spans="8:23" x14ac:dyDescent="0.35">
      <c r="H5" s="1" t="s">
        <v>2</v>
      </c>
      <c r="I5" s="3" t="s">
        <v>3</v>
      </c>
      <c r="J5" s="3" t="s">
        <v>4</v>
      </c>
      <c r="K5" s="3" t="s">
        <v>5</v>
      </c>
      <c r="L5" s="3" t="s">
        <v>37</v>
      </c>
      <c r="M5" s="3" t="s">
        <v>6</v>
      </c>
      <c r="N5" s="3" t="s">
        <v>7</v>
      </c>
      <c r="O5" s="3" t="s">
        <v>8</v>
      </c>
      <c r="P5" s="3" t="s">
        <v>22</v>
      </c>
      <c r="Q5" s="3" t="s">
        <v>9</v>
      </c>
      <c r="R5" s="3" t="s">
        <v>23</v>
      </c>
      <c r="S5" s="3" t="s">
        <v>10</v>
      </c>
      <c r="T5" s="3" t="s">
        <v>11</v>
      </c>
      <c r="U5" s="1" t="s">
        <v>12</v>
      </c>
    </row>
    <row r="6" spans="8:23" x14ac:dyDescent="0.35">
      <c r="H6" s="4"/>
      <c r="I6" s="5"/>
      <c r="J6" s="5"/>
      <c r="K6" s="6"/>
      <c r="L6" s="6"/>
      <c r="M6" s="5"/>
      <c r="N6" s="6"/>
      <c r="O6" s="7">
        <f>(K6+L6+M6+N6)</f>
        <v>0</v>
      </c>
      <c r="P6" s="5"/>
      <c r="Q6" s="5"/>
      <c r="R6" s="5"/>
      <c r="S6" s="5"/>
      <c r="T6" s="7">
        <f>(O6-P6-Q6-R6)</f>
        <v>0</v>
      </c>
      <c r="U6" s="4"/>
    </row>
    <row r="7" spans="8:23" ht="16" x14ac:dyDescent="0.4">
      <c r="H7" s="9">
        <v>1</v>
      </c>
      <c r="I7" s="8" t="s">
        <v>17</v>
      </c>
      <c r="J7" s="9" t="s">
        <v>36</v>
      </c>
      <c r="K7" s="6">
        <v>200000</v>
      </c>
      <c r="L7" s="10"/>
      <c r="M7" s="11"/>
      <c r="N7" s="4"/>
      <c r="O7" s="7">
        <f t="shared" ref="O7:O18" si="0">(K7+L7+M7+N7)</f>
        <v>200000</v>
      </c>
      <c r="P7" s="6"/>
      <c r="Q7" s="6"/>
      <c r="R7" s="5"/>
      <c r="S7" s="11"/>
      <c r="T7" s="7">
        <f t="shared" ref="T7:T18" si="1">(O7-P7-Q7-R7)</f>
        <v>200000</v>
      </c>
      <c r="U7" s="6"/>
    </row>
    <row r="8" spans="8:23" x14ac:dyDescent="0.35">
      <c r="H8" s="9">
        <v>2</v>
      </c>
      <c r="I8" s="5" t="s">
        <v>28</v>
      </c>
      <c r="J8" s="9" t="s">
        <v>19</v>
      </c>
      <c r="K8" s="6">
        <v>200000</v>
      </c>
      <c r="L8" s="10">
        <v>50000</v>
      </c>
      <c r="M8" s="11"/>
      <c r="N8" s="6"/>
      <c r="O8" s="7">
        <f t="shared" si="0"/>
        <v>250000</v>
      </c>
      <c r="P8" s="5">
        <v>40000</v>
      </c>
      <c r="Q8" s="6"/>
      <c r="R8" s="6"/>
      <c r="S8" s="11"/>
      <c r="T8" s="7">
        <f t="shared" si="1"/>
        <v>210000</v>
      </c>
      <c r="U8" s="6"/>
    </row>
    <row r="9" spans="8:23" ht="16" x14ac:dyDescent="0.4">
      <c r="H9" s="9">
        <v>3</v>
      </c>
      <c r="I9" s="12" t="s">
        <v>18</v>
      </c>
      <c r="J9" s="9" t="s">
        <v>19</v>
      </c>
      <c r="K9" s="6">
        <v>200000</v>
      </c>
      <c r="L9" s="10"/>
      <c r="M9" s="11"/>
      <c r="N9" s="6"/>
      <c r="O9" s="7">
        <f t="shared" si="0"/>
        <v>200000</v>
      </c>
      <c r="P9" s="5"/>
      <c r="Q9" s="6"/>
      <c r="R9" s="5"/>
      <c r="S9" s="11"/>
      <c r="T9" s="7">
        <f t="shared" si="1"/>
        <v>200000</v>
      </c>
      <c r="U9" s="6"/>
    </row>
    <row r="10" spans="8:23" ht="16" x14ac:dyDescent="0.4">
      <c r="H10" s="9">
        <v>4</v>
      </c>
      <c r="I10" s="12" t="s">
        <v>31</v>
      </c>
      <c r="J10" s="9" t="s">
        <v>19</v>
      </c>
      <c r="K10" s="6">
        <v>200000</v>
      </c>
      <c r="L10" s="10"/>
      <c r="M10" s="11"/>
      <c r="N10" s="4"/>
      <c r="O10" s="7">
        <f t="shared" si="0"/>
        <v>200000</v>
      </c>
      <c r="P10" s="5"/>
      <c r="Q10" s="6"/>
      <c r="R10" s="5"/>
      <c r="S10" s="11"/>
      <c r="T10" s="7">
        <f t="shared" si="1"/>
        <v>200000</v>
      </c>
      <c r="U10" s="6"/>
      <c r="W10" s="14"/>
    </row>
    <row r="11" spans="8:23" ht="16" x14ac:dyDescent="0.4">
      <c r="H11" s="9">
        <v>5</v>
      </c>
      <c r="I11" s="12" t="s">
        <v>20</v>
      </c>
      <c r="J11" s="9" t="s">
        <v>19</v>
      </c>
      <c r="K11" s="6">
        <v>200000</v>
      </c>
      <c r="L11" s="10"/>
      <c r="M11" s="11"/>
      <c r="N11" s="4"/>
      <c r="O11" s="7">
        <f t="shared" si="0"/>
        <v>200000</v>
      </c>
      <c r="P11" s="5"/>
      <c r="Q11" s="6"/>
      <c r="R11" s="5"/>
      <c r="S11" s="11"/>
      <c r="T11" s="7">
        <f t="shared" si="1"/>
        <v>200000</v>
      </c>
      <c r="U11" s="6"/>
    </row>
    <row r="12" spans="8:23" x14ac:dyDescent="0.35">
      <c r="H12" s="9">
        <v>6</v>
      </c>
      <c r="I12" s="17" t="s">
        <v>32</v>
      </c>
      <c r="J12" s="9" t="s">
        <v>19</v>
      </c>
      <c r="K12" s="6">
        <v>200000</v>
      </c>
      <c r="L12" s="10"/>
      <c r="M12" s="11"/>
      <c r="N12" s="4"/>
      <c r="O12" s="7">
        <f t="shared" si="0"/>
        <v>200000</v>
      </c>
      <c r="P12" s="5"/>
      <c r="Q12" s="6"/>
      <c r="R12" s="6"/>
      <c r="S12" s="11"/>
      <c r="T12" s="7">
        <f t="shared" si="1"/>
        <v>200000</v>
      </c>
      <c r="U12" s="6"/>
    </row>
    <row r="13" spans="8:23" x14ac:dyDescent="0.35">
      <c r="H13" s="9">
        <v>7</v>
      </c>
      <c r="I13" s="17" t="s">
        <v>30</v>
      </c>
      <c r="J13" s="9" t="s">
        <v>19</v>
      </c>
      <c r="K13" s="6">
        <v>200000</v>
      </c>
      <c r="L13" s="10"/>
      <c r="M13" s="11"/>
      <c r="N13" s="4"/>
      <c r="O13" s="7">
        <f t="shared" si="0"/>
        <v>200000</v>
      </c>
      <c r="P13" s="5"/>
      <c r="Q13" s="6"/>
      <c r="R13" s="5"/>
      <c r="S13" s="11"/>
      <c r="T13" s="7">
        <f t="shared" si="1"/>
        <v>200000</v>
      </c>
      <c r="U13" s="6"/>
    </row>
    <row r="14" spans="8:23" x14ac:dyDescent="0.35">
      <c r="H14" s="9">
        <v>8</v>
      </c>
      <c r="I14" s="17" t="s">
        <v>29</v>
      </c>
      <c r="J14" s="9" t="s">
        <v>35</v>
      </c>
      <c r="K14" s="6">
        <v>200000</v>
      </c>
      <c r="L14" s="10"/>
      <c r="M14" s="11"/>
      <c r="N14" s="4"/>
      <c r="O14" s="7">
        <f t="shared" si="0"/>
        <v>200000</v>
      </c>
      <c r="P14" s="6"/>
      <c r="Q14" s="6"/>
      <c r="R14" s="6">
        <v>50000</v>
      </c>
      <c r="S14" s="11"/>
      <c r="T14" s="7">
        <f t="shared" si="1"/>
        <v>150000</v>
      </c>
      <c r="U14" s="6"/>
    </row>
    <row r="15" spans="8:23" x14ac:dyDescent="0.35">
      <c r="H15" s="9">
        <v>9</v>
      </c>
      <c r="I15" s="17" t="s">
        <v>33</v>
      </c>
      <c r="J15" s="9" t="s">
        <v>19</v>
      </c>
      <c r="K15" s="6">
        <v>200000</v>
      </c>
      <c r="L15" s="10"/>
      <c r="M15" s="11"/>
      <c r="N15" s="4"/>
      <c r="O15" s="7">
        <f t="shared" si="0"/>
        <v>200000</v>
      </c>
      <c r="P15" s="5"/>
      <c r="Q15" s="6"/>
      <c r="R15" s="5"/>
      <c r="S15" s="11"/>
      <c r="T15" s="7">
        <f t="shared" si="1"/>
        <v>200000</v>
      </c>
      <c r="U15" s="6"/>
    </row>
    <row r="16" spans="8:23" ht="16" x14ac:dyDescent="0.4">
      <c r="H16" s="9">
        <v>10</v>
      </c>
      <c r="I16" s="12" t="s">
        <v>21</v>
      </c>
      <c r="J16" s="9" t="s">
        <v>13</v>
      </c>
      <c r="K16" s="6">
        <v>150000</v>
      </c>
      <c r="L16" s="10"/>
      <c r="M16" s="11"/>
      <c r="N16" s="4"/>
      <c r="O16" s="7">
        <f>(K16+L16)</f>
        <v>150000</v>
      </c>
      <c r="P16" s="5"/>
      <c r="Q16" s="6"/>
      <c r="R16" s="5"/>
      <c r="S16" s="11"/>
      <c r="T16" s="7">
        <f>(O16-P16-Q16-R16)</f>
        <v>150000</v>
      </c>
      <c r="U16" s="6"/>
    </row>
    <row r="17" spans="8:21" x14ac:dyDescent="0.35">
      <c r="H17" s="9"/>
      <c r="I17" s="20"/>
      <c r="J17" s="9"/>
      <c r="K17" s="6"/>
      <c r="L17" s="10"/>
      <c r="M17" s="11"/>
      <c r="N17" s="4"/>
      <c r="O17" s="7">
        <f t="shared" si="0"/>
        <v>0</v>
      </c>
      <c r="P17" s="5"/>
      <c r="Q17" s="6"/>
      <c r="R17" s="5"/>
      <c r="S17" s="11"/>
      <c r="T17" s="7">
        <f t="shared" si="1"/>
        <v>0</v>
      </c>
      <c r="U17" s="6"/>
    </row>
    <row r="18" spans="8:21" x14ac:dyDescent="0.35">
      <c r="H18" s="24" t="s">
        <v>14</v>
      </c>
      <c r="I18" s="25"/>
      <c r="J18" s="11"/>
      <c r="K18" s="6"/>
      <c r="L18" s="10"/>
      <c r="M18" s="11"/>
      <c r="N18" s="4"/>
      <c r="O18" s="7">
        <f t="shared" si="0"/>
        <v>0</v>
      </c>
      <c r="P18" s="5"/>
      <c r="Q18" s="6"/>
      <c r="R18" s="5"/>
      <c r="S18" s="11"/>
      <c r="T18" s="7">
        <f t="shared" si="1"/>
        <v>0</v>
      </c>
      <c r="U18" s="6"/>
    </row>
    <row r="19" spans="8:21" x14ac:dyDescent="0.35">
      <c r="H19" s="26"/>
      <c r="I19" s="27"/>
      <c r="J19" s="1"/>
      <c r="K19" s="18">
        <f>SUM(K6:K18)</f>
        <v>1950000</v>
      </c>
      <c r="L19" s="13">
        <f>SUM(L6:L18)</f>
        <v>50000</v>
      </c>
      <c r="M19" s="1"/>
      <c r="N19" s="1"/>
      <c r="O19" s="7">
        <f>(K19+L19+M19+N19)</f>
        <v>2000000</v>
      </c>
      <c r="P19" s="18">
        <f>SUM(P6:P18)</f>
        <v>40000</v>
      </c>
      <c r="Q19" s="18">
        <f>SUM(Q6:Q18)</f>
        <v>0</v>
      </c>
      <c r="R19" s="18">
        <f>SUM(R6:R18)</f>
        <v>50000</v>
      </c>
      <c r="S19" s="1"/>
      <c r="T19" s="7">
        <f>(O19-P19-Q19-R19-S19)</f>
        <v>1910000</v>
      </c>
      <c r="U19" s="13">
        <v>0</v>
      </c>
    </row>
    <row r="22" spans="8:21" ht="18.5" x14ac:dyDescent="0.45">
      <c r="I22" s="19" t="s">
        <v>24</v>
      </c>
      <c r="R22" s="19" t="s">
        <v>25</v>
      </c>
    </row>
    <row r="23" spans="8:21" ht="18.5" x14ac:dyDescent="0.45">
      <c r="I23" s="19" t="s">
        <v>26</v>
      </c>
      <c r="R23" s="19" t="s">
        <v>27</v>
      </c>
    </row>
  </sheetData>
  <mergeCells count="4">
    <mergeCell ref="H4:N4"/>
    <mergeCell ref="P4:T4"/>
    <mergeCell ref="H18:I19"/>
    <mergeCell ref="M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2025-09-23T04:06:45Z</dcterms:created>
  <dcterms:modified xsi:type="dcterms:W3CDTF">2026-03-12T02:13:15Z</dcterms:modified>
</cp:coreProperties>
</file>