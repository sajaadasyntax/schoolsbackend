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esktop\2026بورتسودان\"/>
    </mc:Choice>
  </mc:AlternateContent>
  <xr:revisionPtr revIDLastSave="0" documentId="13_ncr:1_{4034A783-AD8D-41B3-AB06-7F631D4424AC}" xr6:coauthVersionLast="47" xr6:coauthVersionMax="47" xr10:uidLastSave="{00000000-0000-0000-0000-000000000000}"/>
  <bookViews>
    <workbookView xWindow="-110" yWindow="-110" windowWidth="19420" windowHeight="12660" xr2:uid="{B072CC9F-2695-4DB8-A80E-8CB5F566209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44" i="1" l="1"/>
  <c r="U44" i="1" s="1"/>
  <c r="P45" i="1"/>
  <c r="U45" i="1" s="1"/>
  <c r="U20" i="1"/>
  <c r="P20" i="1"/>
  <c r="O46" i="1"/>
  <c r="R57" i="1"/>
  <c r="O79" i="1"/>
  <c r="L79" i="1"/>
  <c r="P43" i="1"/>
  <c r="U43" i="1" s="1"/>
  <c r="Q79" i="1"/>
  <c r="S46" i="1"/>
  <c r="N46" i="1"/>
  <c r="M46" i="1"/>
  <c r="P19" i="1"/>
  <c r="U19" i="1" s="1"/>
  <c r="R79" i="1"/>
  <c r="R46" i="1"/>
  <c r="P41" i="1"/>
  <c r="U41" i="1" s="1"/>
  <c r="P42" i="1"/>
  <c r="U42" i="1" s="1"/>
  <c r="P21" i="1"/>
  <c r="U21" i="1" s="1"/>
  <c r="P22" i="1"/>
  <c r="U22" i="1" s="1"/>
  <c r="P23" i="1"/>
  <c r="U23" i="1" s="1"/>
  <c r="P24" i="1"/>
  <c r="U24" i="1" s="1"/>
  <c r="P25" i="1"/>
  <c r="U25" i="1" s="1"/>
  <c r="P26" i="1"/>
  <c r="U26" i="1" s="1"/>
  <c r="P27" i="1"/>
  <c r="U27" i="1" s="1"/>
  <c r="P28" i="1"/>
  <c r="U28" i="1" s="1"/>
  <c r="P29" i="1"/>
  <c r="U29" i="1" s="1"/>
  <c r="P30" i="1"/>
  <c r="U30" i="1" s="1"/>
  <c r="P31" i="1"/>
  <c r="U31" i="1" s="1"/>
  <c r="P32" i="1"/>
  <c r="U32" i="1" s="1"/>
  <c r="P33" i="1"/>
  <c r="U33" i="1" s="1"/>
  <c r="P34" i="1"/>
  <c r="U34" i="1" s="1"/>
  <c r="P35" i="1"/>
  <c r="U35" i="1" s="1"/>
  <c r="P36" i="1"/>
  <c r="U36" i="1" s="1"/>
  <c r="P37" i="1"/>
  <c r="U37" i="1" s="1"/>
  <c r="P38" i="1"/>
  <c r="U38" i="1" s="1"/>
  <c r="P39" i="1"/>
  <c r="U39" i="1" s="1"/>
  <c r="P40" i="1"/>
  <c r="U40" i="1" s="1"/>
  <c r="L46" i="1"/>
  <c r="P70" i="1"/>
  <c r="U70" i="1" s="1"/>
  <c r="P68" i="1"/>
  <c r="U68" i="1" s="1"/>
  <c r="P69" i="1"/>
  <c r="U69" i="1" s="1"/>
  <c r="P71" i="1"/>
  <c r="U71" i="1" s="1"/>
  <c r="P72" i="1"/>
  <c r="U72" i="1" s="1"/>
  <c r="P73" i="1"/>
  <c r="U73" i="1" s="1"/>
  <c r="P74" i="1"/>
  <c r="U74" i="1" s="1"/>
  <c r="P75" i="1"/>
  <c r="U75" i="1" s="1"/>
  <c r="P76" i="1"/>
  <c r="U76" i="1" s="1"/>
  <c r="P77" i="1"/>
  <c r="U77" i="1" s="1"/>
  <c r="P78" i="1"/>
  <c r="U78" i="1" s="1"/>
  <c r="P67" i="1"/>
  <c r="U67" i="1" s="1"/>
  <c r="P18" i="1"/>
  <c r="U18" i="1" s="1"/>
  <c r="P46" i="1" l="1"/>
  <c r="U46" i="1" s="1"/>
  <c r="P79" i="1"/>
  <c r="U79" i="1" s="1"/>
</calcChain>
</file>

<file path=xl/sharedStrings.xml><?xml version="1.0" encoding="utf-8"?>
<sst xmlns="http://schemas.openxmlformats.org/spreadsheetml/2006/main" count="127" uniqueCount="87">
  <si>
    <t>بسم الله الرحمن الرحيم</t>
  </si>
  <si>
    <t>مدرسة الأمام الشافعي</t>
  </si>
  <si>
    <t>الأستحقاقات</t>
  </si>
  <si>
    <t>الأستقطاعات</t>
  </si>
  <si>
    <t>الرقم</t>
  </si>
  <si>
    <t>الأسم</t>
  </si>
  <si>
    <t>الوظيفة</t>
  </si>
  <si>
    <t>جملة الراتب</t>
  </si>
  <si>
    <t>جملة الأستحقاق</t>
  </si>
  <si>
    <t>جزاءات</t>
  </si>
  <si>
    <t>الاجازة</t>
  </si>
  <si>
    <t>سلفية</t>
  </si>
  <si>
    <t>اخرى</t>
  </si>
  <si>
    <t>الصافي</t>
  </si>
  <si>
    <t>التوقيع</t>
  </si>
  <si>
    <t xml:space="preserve">حنان عبدالقادر </t>
  </si>
  <si>
    <t>مديرة</t>
  </si>
  <si>
    <t>لوليتا عثمان</t>
  </si>
  <si>
    <t>وكيلة</t>
  </si>
  <si>
    <t>نورا احمد</t>
  </si>
  <si>
    <t>معلمة</t>
  </si>
  <si>
    <t>فاطمة ابوطاهر</t>
  </si>
  <si>
    <t>زهراء حسين</t>
  </si>
  <si>
    <t>أماني محمد عثمان</t>
  </si>
  <si>
    <t xml:space="preserve">سيداحمد عثمان </t>
  </si>
  <si>
    <t xml:space="preserve">معلم </t>
  </si>
  <si>
    <t>أقبال حمد طاهر</t>
  </si>
  <si>
    <t>معلم</t>
  </si>
  <si>
    <t>سبأ حمزة</t>
  </si>
  <si>
    <t>تسابيح نورالدين</t>
  </si>
  <si>
    <t>صفاء خالد</t>
  </si>
  <si>
    <t>نبأ حمزة</t>
  </si>
  <si>
    <t xml:space="preserve">ريان محمد الحسن </t>
  </si>
  <si>
    <t xml:space="preserve">مواهب ابراهيم </t>
  </si>
  <si>
    <t>الجملة</t>
  </si>
  <si>
    <t>المدير التنفيذي</t>
  </si>
  <si>
    <t>معمر أحمد موسى</t>
  </si>
  <si>
    <t>حنان عبدالقادر</t>
  </si>
  <si>
    <t>التوقيع:..........</t>
  </si>
  <si>
    <t>التوقيع:٠٠٠٠٠٠</t>
  </si>
  <si>
    <t xml:space="preserve">التوقيع :........... </t>
  </si>
  <si>
    <t>الموظفين</t>
  </si>
  <si>
    <t xml:space="preserve">جملة الراتب </t>
  </si>
  <si>
    <t xml:space="preserve">علاوة أولى </t>
  </si>
  <si>
    <t>علاوة تانية</t>
  </si>
  <si>
    <t>الحافز</t>
  </si>
  <si>
    <t>سلف</t>
  </si>
  <si>
    <t xml:space="preserve">الآجازة </t>
  </si>
  <si>
    <t xml:space="preserve">اشتراكات </t>
  </si>
  <si>
    <t xml:space="preserve">معمر احمد موسى </t>
  </si>
  <si>
    <t>مدير مالي</t>
  </si>
  <si>
    <t>بهجة عبدالرحيم</t>
  </si>
  <si>
    <t xml:space="preserve">سلوان محمد حسن </t>
  </si>
  <si>
    <t xml:space="preserve">عمر احمد موسى </t>
  </si>
  <si>
    <t>محاسب</t>
  </si>
  <si>
    <t xml:space="preserve">موسى الشريف </t>
  </si>
  <si>
    <t>حارس</t>
  </si>
  <si>
    <t>عامل</t>
  </si>
  <si>
    <t xml:space="preserve">عامل </t>
  </si>
  <si>
    <t>مهيلا</t>
  </si>
  <si>
    <t>المدير العام</t>
  </si>
  <si>
    <t xml:space="preserve">جواهر الماحي بله </t>
  </si>
  <si>
    <t>فاطمة محمد خليفة</t>
  </si>
  <si>
    <t>جمعة محمد موسى</t>
  </si>
  <si>
    <t xml:space="preserve">نسيبة عبدالرحمن حامد </t>
  </si>
  <si>
    <t>بهجة عبدالرحيم الحسن</t>
  </si>
  <si>
    <t>معمر احمد موسى</t>
  </si>
  <si>
    <t>مواهب  محمد السيد</t>
  </si>
  <si>
    <t>حسن محمد احمد كافي</t>
  </si>
  <si>
    <t>المدير الأكاديمي</t>
  </si>
  <si>
    <t>التوقيع : ..............</t>
  </si>
  <si>
    <t>جمال موسى عمر</t>
  </si>
  <si>
    <t>المدير</t>
  </si>
  <si>
    <t>اشراف</t>
  </si>
  <si>
    <t>ضباط</t>
  </si>
  <si>
    <t>مها شمس الدين علي</t>
  </si>
  <si>
    <t xml:space="preserve">نادر محمد احمد </t>
  </si>
  <si>
    <t>رباب ايهاب حسين</t>
  </si>
  <si>
    <t>وكيل</t>
  </si>
  <si>
    <t>مدير اداري</t>
  </si>
  <si>
    <t>مرتب يناير 2026</t>
  </si>
  <si>
    <t>وجدان عبدالماجد</t>
  </si>
  <si>
    <t xml:space="preserve">أحلام خليفة </t>
  </si>
  <si>
    <t>أمل ناجي صلاح</t>
  </si>
  <si>
    <t>أمتثال الامين</t>
  </si>
  <si>
    <t>مرتبات مارس 2026</t>
  </si>
  <si>
    <t>رقية بدوي محمد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</si>
</sst>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u val="double"/>
      <sz val="14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0.249977111117893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1">
    <xf numFmtId="0" fontId="0" fillId="0" borderId="0" xfId="0"/>
    <xf numFmtId="0" fontId="0" fillId="2" borderId="0" xfId="0" applyFill="1"/>
    <xf numFmtId="0" fontId="3" fillId="2" borderId="0" xfId="0" applyFont="1" applyFill="1" applyAlignment="1">
      <alignment vertical="top"/>
    </xf>
    <xf numFmtId="0" fontId="4" fillId="2" borderId="0" xfId="0" applyFont="1" applyFill="1" applyAlignment="1">
      <alignment vertical="top"/>
    </xf>
    <xf numFmtId="0" fontId="0" fillId="3" borderId="4" xfId="0" applyFill="1" applyBorder="1"/>
    <xf numFmtId="0" fontId="0" fillId="4" borderId="4" xfId="0" applyFill="1" applyBorder="1"/>
    <xf numFmtId="0" fontId="2" fillId="3" borderId="4" xfId="0" applyFont="1" applyFill="1" applyBorder="1"/>
    <xf numFmtId="0" fontId="2" fillId="3" borderId="5" xfId="0" applyFont="1" applyFill="1" applyBorder="1"/>
    <xf numFmtId="0" fontId="0" fillId="0" borderId="4" xfId="0" applyBorder="1"/>
    <xf numFmtId="0" fontId="2" fillId="2" borderId="4" xfId="0" applyFont="1" applyFill="1" applyBorder="1"/>
    <xf numFmtId="0" fontId="2" fillId="0" borderId="4" xfId="0" applyFont="1" applyBorder="1"/>
    <xf numFmtId="164" fontId="2" fillId="0" borderId="4" xfId="1" applyNumberFormat="1" applyFont="1" applyBorder="1"/>
    <xf numFmtId="164" fontId="2" fillId="3" borderId="4" xfId="1" applyNumberFormat="1" applyFont="1" applyFill="1" applyBorder="1"/>
    <xf numFmtId="164" fontId="2" fillId="2" borderId="4" xfId="1" applyNumberFormat="1" applyFont="1" applyFill="1" applyBorder="1"/>
    <xf numFmtId="0" fontId="6" fillId="0" borderId="4" xfId="0" applyFont="1" applyBorder="1"/>
    <xf numFmtId="0" fontId="0" fillId="2" borderId="4" xfId="0" applyFill="1" applyBorder="1"/>
    <xf numFmtId="164" fontId="2" fillId="3" borderId="4" xfId="0" applyNumberFormat="1" applyFont="1" applyFill="1" applyBorder="1"/>
    <xf numFmtId="0" fontId="2" fillId="0" borderId="0" xfId="0" applyFont="1"/>
    <xf numFmtId="0" fontId="7" fillId="0" borderId="4" xfId="0" applyFont="1" applyBorder="1"/>
    <xf numFmtId="0" fontId="7" fillId="2" borderId="4" xfId="0" applyFont="1" applyFill="1" applyBorder="1"/>
    <xf numFmtId="0" fontId="8" fillId="0" borderId="4" xfId="0" applyFont="1" applyBorder="1"/>
    <xf numFmtId="164" fontId="6" fillId="3" borderId="4" xfId="0" applyNumberFormat="1" applyFont="1" applyFill="1" applyBorder="1"/>
    <xf numFmtId="0" fontId="0" fillId="5" borderId="4" xfId="0" applyFill="1" applyBorder="1"/>
    <xf numFmtId="0" fontId="2" fillId="2" borderId="0" xfId="0" applyFont="1" applyFill="1"/>
    <xf numFmtId="164" fontId="2" fillId="5" borderId="4" xfId="1" applyNumberFormat="1" applyFont="1" applyFill="1" applyBorder="1"/>
    <xf numFmtId="164" fontId="7" fillId="3" borderId="4" xfId="0" applyNumberFormat="1" applyFont="1" applyFill="1" applyBorder="1"/>
    <xf numFmtId="164" fontId="7" fillId="3" borderId="4" xfId="1" applyNumberFormat="1" applyFont="1" applyFill="1" applyBorder="1"/>
    <xf numFmtId="164" fontId="2" fillId="6" borderId="4" xfId="1" applyNumberFormat="1" applyFont="1" applyFill="1" applyBorder="1"/>
    <xf numFmtId="164" fontId="0" fillId="0" borderId="0" xfId="1" applyNumberFormat="1" applyFont="1"/>
    <xf numFmtId="0" fontId="8" fillId="3" borderId="6" xfId="0" applyFont="1" applyFill="1" applyBorder="1" applyAlignment="1">
      <alignment horizontal="center"/>
    </xf>
    <xf numFmtId="0" fontId="8" fillId="3" borderId="7" xfId="0" applyFont="1" applyFill="1" applyBorder="1" applyAlignment="1">
      <alignment horizontal="center"/>
    </xf>
    <xf numFmtId="0" fontId="8" fillId="3" borderId="8" xfId="0" applyFont="1" applyFill="1" applyBorder="1" applyAlignment="1">
      <alignment horizontal="center"/>
    </xf>
    <xf numFmtId="0" fontId="8" fillId="3" borderId="9" xfId="0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5" fillId="3" borderId="2" xfId="0" applyFont="1" applyFill="1" applyBorder="1" applyAlignment="1">
      <alignment horizontal="center"/>
    </xf>
    <xf numFmtId="0" fontId="5" fillId="3" borderId="3" xfId="0" applyFont="1" applyFill="1" applyBorder="1" applyAlignment="1">
      <alignment horizontal="center"/>
    </xf>
    <xf numFmtId="0" fontId="2" fillId="3" borderId="6" xfId="0" applyFont="1" applyFill="1" applyBorder="1" applyAlignment="1">
      <alignment horizontal="center"/>
    </xf>
    <xf numFmtId="0" fontId="2" fillId="3" borderId="7" xfId="0" applyFont="1" applyFill="1" applyBorder="1" applyAlignment="1">
      <alignment horizontal="center"/>
    </xf>
    <xf numFmtId="0" fontId="2" fillId="3" borderId="8" xfId="0" applyFont="1" applyFill="1" applyBorder="1" applyAlignment="1">
      <alignment horizontal="center"/>
    </xf>
    <xf numFmtId="0" fontId="2" fillId="3" borderId="9" xfId="0" applyFont="1" applyFill="1" applyBorder="1" applyAlignment="1">
      <alignment horizontal="center"/>
    </xf>
    <xf numFmtId="0" fontId="4" fillId="0" borderId="0" xfId="0" applyFont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ED480B-1B0C-48C6-86BE-D8C7F22C7CF9}">
  <dimension ref="I13:V87"/>
  <sheetViews>
    <sheetView rightToLeft="1" tabSelected="1" topLeftCell="H47" workbookViewId="0">
      <selection activeCell="P43" sqref="P43"/>
    </sheetView>
  </sheetViews>
  <sheetFormatPr defaultRowHeight="14.5" x14ac:dyDescent="0.35"/>
  <cols>
    <col min="9" max="9" width="5.6328125" customWidth="1"/>
    <col min="10" max="10" width="18.36328125" customWidth="1"/>
    <col min="11" max="11" width="9.7265625" customWidth="1"/>
    <col min="12" max="12" width="12.26953125" customWidth="1"/>
    <col min="13" max="13" width="9.90625" customWidth="1"/>
    <col min="14" max="14" width="10.08984375" customWidth="1"/>
    <col min="15" max="15" width="9.453125" customWidth="1"/>
    <col min="16" max="16" width="15.81640625" customWidth="1"/>
    <col min="17" max="17" width="10.1796875" bestFit="1" customWidth="1"/>
    <col min="18" max="18" width="10" customWidth="1"/>
    <col min="19" max="19" width="10.1796875" bestFit="1" customWidth="1"/>
    <col min="20" max="20" width="6.26953125" customWidth="1"/>
    <col min="21" max="21" width="16.54296875" customWidth="1"/>
    <col min="22" max="22" width="11.453125" customWidth="1"/>
  </cols>
  <sheetData>
    <row r="13" spans="9:22" ht="18.5" x14ac:dyDescent="0.35">
      <c r="J13" s="1"/>
      <c r="K13" s="1"/>
      <c r="L13" s="2" t="s">
        <v>0</v>
      </c>
      <c r="M13" s="2"/>
      <c r="N13" s="1"/>
      <c r="O13" s="1"/>
      <c r="P13" s="1"/>
      <c r="Q13" s="1"/>
      <c r="R13" s="1"/>
      <c r="S13" s="1"/>
      <c r="T13" s="1"/>
      <c r="U13" s="1"/>
      <c r="V13" s="1"/>
    </row>
    <row r="14" spans="9:22" ht="18.5" x14ac:dyDescent="0.35">
      <c r="J14" s="1"/>
      <c r="K14" s="1"/>
      <c r="L14" s="2" t="s">
        <v>1</v>
      </c>
      <c r="M14" s="2"/>
      <c r="N14" s="1"/>
      <c r="O14" s="1"/>
      <c r="P14" s="1"/>
      <c r="Q14" s="1"/>
      <c r="R14" s="1"/>
      <c r="S14" s="1"/>
      <c r="T14" s="1"/>
      <c r="U14" s="1"/>
      <c r="V14" s="1"/>
    </row>
    <row r="15" spans="9:22" ht="18.5" x14ac:dyDescent="0.35">
      <c r="J15" s="1"/>
      <c r="K15" s="1"/>
      <c r="L15" s="3" t="s">
        <v>85</v>
      </c>
      <c r="M15" s="3"/>
      <c r="N15" s="1"/>
      <c r="O15" s="1"/>
      <c r="P15" s="1"/>
      <c r="Q15" s="1"/>
      <c r="R15" s="1"/>
      <c r="S15" s="1"/>
      <c r="T15" s="1"/>
      <c r="U15" s="1"/>
      <c r="V15" s="1"/>
    </row>
    <row r="16" spans="9:22" x14ac:dyDescent="0.35">
      <c r="I16" s="33" t="s">
        <v>2</v>
      </c>
      <c r="J16" s="34"/>
      <c r="K16" s="34"/>
      <c r="L16" s="34"/>
      <c r="M16" s="34"/>
      <c r="N16" s="34"/>
      <c r="O16" s="35"/>
      <c r="P16" s="4"/>
      <c r="Q16" s="33" t="s">
        <v>3</v>
      </c>
      <c r="R16" s="34"/>
      <c r="S16" s="34"/>
      <c r="T16" s="34"/>
      <c r="U16" s="35"/>
      <c r="V16" s="5"/>
    </row>
    <row r="17" spans="9:22" x14ac:dyDescent="0.35">
      <c r="I17" s="6" t="s">
        <v>4</v>
      </c>
      <c r="J17" s="6" t="s">
        <v>5</v>
      </c>
      <c r="K17" s="6" t="s">
        <v>6</v>
      </c>
      <c r="L17" s="6" t="s">
        <v>7</v>
      </c>
      <c r="M17" s="6" t="s">
        <v>73</v>
      </c>
      <c r="N17" s="6" t="s">
        <v>74</v>
      </c>
      <c r="O17" s="7" t="s">
        <v>12</v>
      </c>
      <c r="P17" s="6" t="s">
        <v>8</v>
      </c>
      <c r="Q17" s="6" t="s">
        <v>9</v>
      </c>
      <c r="R17" s="6" t="s">
        <v>10</v>
      </c>
      <c r="S17" s="6" t="s">
        <v>11</v>
      </c>
      <c r="T17" s="6" t="s">
        <v>12</v>
      </c>
      <c r="U17" s="6" t="s">
        <v>13</v>
      </c>
      <c r="V17" s="6" t="s">
        <v>14</v>
      </c>
    </row>
    <row r="18" spans="9:22" x14ac:dyDescent="0.35">
      <c r="I18" s="9">
        <v>1</v>
      </c>
      <c r="J18" s="9" t="s">
        <v>15</v>
      </c>
      <c r="K18" s="10" t="s">
        <v>16</v>
      </c>
      <c r="L18" s="11">
        <v>400000</v>
      </c>
      <c r="M18" s="11"/>
      <c r="N18" s="11">
        <v>0</v>
      </c>
      <c r="O18" s="13">
        <v>30000</v>
      </c>
      <c r="P18" s="12">
        <f>(L18+M18+N18+O18)</f>
        <v>430000</v>
      </c>
      <c r="Q18" s="8"/>
      <c r="R18" s="11"/>
      <c r="S18" s="11"/>
      <c r="T18" s="8"/>
      <c r="U18" s="12">
        <f t="shared" ref="U18:U41" si="0">(P18-Q18-R18-S18-T18)</f>
        <v>430000</v>
      </c>
      <c r="V18" s="13"/>
    </row>
    <row r="19" spans="9:22" x14ac:dyDescent="0.35">
      <c r="I19" s="9">
        <v>2</v>
      </c>
      <c r="J19" s="9" t="s">
        <v>71</v>
      </c>
      <c r="K19" s="10" t="s">
        <v>72</v>
      </c>
      <c r="L19" s="11">
        <v>400000</v>
      </c>
      <c r="M19" s="11"/>
      <c r="N19" s="11"/>
      <c r="O19" s="13">
        <v>30000</v>
      </c>
      <c r="P19" s="12">
        <f>(L19+M19+N19+O19)</f>
        <v>430000</v>
      </c>
      <c r="Q19" s="8"/>
      <c r="R19" s="11"/>
      <c r="S19" s="11"/>
      <c r="T19" s="8"/>
      <c r="U19" s="12">
        <f t="shared" si="0"/>
        <v>430000</v>
      </c>
      <c r="V19" s="13"/>
    </row>
    <row r="20" spans="9:22" x14ac:dyDescent="0.35">
      <c r="I20" s="9">
        <v>3</v>
      </c>
      <c r="J20" s="9" t="s">
        <v>51</v>
      </c>
      <c r="K20" s="10" t="s">
        <v>72</v>
      </c>
      <c r="L20" s="11">
        <v>400000</v>
      </c>
      <c r="M20" s="11"/>
      <c r="N20" s="11"/>
      <c r="O20" s="13">
        <v>30000</v>
      </c>
      <c r="P20" s="12">
        <f>(L20+M20+N20+O20)</f>
        <v>430000</v>
      </c>
      <c r="Q20" s="8"/>
      <c r="R20" s="11"/>
      <c r="S20" s="11"/>
      <c r="T20" s="8"/>
      <c r="U20" s="12">
        <f t="shared" si="0"/>
        <v>430000</v>
      </c>
      <c r="V20" s="13"/>
    </row>
    <row r="21" spans="9:22" x14ac:dyDescent="0.35">
      <c r="I21" s="9">
        <v>4</v>
      </c>
      <c r="J21" s="9" t="s">
        <v>76</v>
      </c>
      <c r="K21" s="14" t="s">
        <v>78</v>
      </c>
      <c r="L21" s="11">
        <v>330000</v>
      </c>
      <c r="M21" s="11"/>
      <c r="N21" s="11">
        <v>20000</v>
      </c>
      <c r="O21" s="13">
        <v>30000</v>
      </c>
      <c r="P21" s="12">
        <f t="shared" ref="P21:P45" si="1">(L21+M21+N21+O21)</f>
        <v>380000</v>
      </c>
      <c r="Q21" s="8"/>
      <c r="R21" s="11"/>
      <c r="S21" s="11"/>
      <c r="T21" s="8"/>
      <c r="U21" s="12">
        <f t="shared" si="0"/>
        <v>380000</v>
      </c>
      <c r="V21" s="13"/>
    </row>
    <row r="22" spans="9:22" x14ac:dyDescent="0.35">
      <c r="I22" s="9">
        <v>5</v>
      </c>
      <c r="J22" s="9" t="s">
        <v>17</v>
      </c>
      <c r="K22" s="10" t="s">
        <v>18</v>
      </c>
      <c r="L22" s="11">
        <v>330000</v>
      </c>
      <c r="M22" s="11"/>
      <c r="N22" s="11"/>
      <c r="O22" s="13">
        <v>30000</v>
      </c>
      <c r="P22" s="12">
        <f t="shared" si="1"/>
        <v>360000</v>
      </c>
      <c r="Q22" s="8"/>
      <c r="R22" s="11"/>
      <c r="S22" s="11"/>
      <c r="T22" s="8"/>
      <c r="U22" s="12">
        <f t="shared" si="0"/>
        <v>360000</v>
      </c>
      <c r="V22" s="13"/>
    </row>
    <row r="23" spans="9:22" x14ac:dyDescent="0.35">
      <c r="I23" s="9">
        <v>6</v>
      </c>
      <c r="J23" s="9" t="s">
        <v>19</v>
      </c>
      <c r="K23" s="10" t="s">
        <v>18</v>
      </c>
      <c r="L23" s="11">
        <v>330000</v>
      </c>
      <c r="M23" s="11"/>
      <c r="N23" s="11"/>
      <c r="O23" s="13">
        <v>30000</v>
      </c>
      <c r="P23" s="12">
        <f t="shared" si="1"/>
        <v>360000</v>
      </c>
      <c r="Q23" s="8"/>
      <c r="R23" s="11"/>
      <c r="S23" s="11"/>
      <c r="T23" s="8"/>
      <c r="U23" s="12">
        <f t="shared" si="0"/>
        <v>360000</v>
      </c>
      <c r="V23" s="13"/>
    </row>
    <row r="24" spans="9:22" x14ac:dyDescent="0.35">
      <c r="I24" s="9">
        <v>7</v>
      </c>
      <c r="J24" s="9" t="s">
        <v>67</v>
      </c>
      <c r="K24" s="10" t="s">
        <v>20</v>
      </c>
      <c r="L24" s="11">
        <v>300000</v>
      </c>
      <c r="M24" s="11"/>
      <c r="N24" s="11">
        <v>20000</v>
      </c>
      <c r="O24" s="13"/>
      <c r="P24" s="12">
        <f t="shared" si="1"/>
        <v>320000</v>
      </c>
      <c r="Q24" s="8"/>
      <c r="R24" s="11"/>
      <c r="S24" s="11"/>
      <c r="T24" s="8"/>
      <c r="U24" s="12">
        <f t="shared" si="0"/>
        <v>320000</v>
      </c>
      <c r="V24" s="13"/>
    </row>
    <row r="25" spans="9:22" x14ac:dyDescent="0.35">
      <c r="I25" s="9">
        <v>8</v>
      </c>
      <c r="J25" s="9" t="s">
        <v>21</v>
      </c>
      <c r="K25" s="10" t="s">
        <v>20</v>
      </c>
      <c r="L25" s="11">
        <v>290000</v>
      </c>
      <c r="M25" s="13">
        <v>25000</v>
      </c>
      <c r="N25" s="11">
        <v>0</v>
      </c>
      <c r="O25" s="13"/>
      <c r="P25" s="12">
        <f t="shared" si="1"/>
        <v>315000</v>
      </c>
      <c r="Q25" s="8"/>
      <c r="R25" s="11"/>
      <c r="S25" s="11"/>
      <c r="T25" s="8"/>
      <c r="U25" s="12">
        <f t="shared" si="0"/>
        <v>315000</v>
      </c>
      <c r="V25" s="13"/>
    </row>
    <row r="26" spans="9:22" x14ac:dyDescent="0.35">
      <c r="I26" s="9">
        <v>9</v>
      </c>
      <c r="J26" s="9" t="s">
        <v>22</v>
      </c>
      <c r="K26" s="10" t="s">
        <v>20</v>
      </c>
      <c r="L26" s="11">
        <v>270000</v>
      </c>
      <c r="M26" s="13">
        <v>0</v>
      </c>
      <c r="N26" s="11"/>
      <c r="O26" s="13"/>
      <c r="P26" s="12">
        <f t="shared" si="1"/>
        <v>270000</v>
      </c>
      <c r="Q26" s="8"/>
      <c r="R26" s="11"/>
      <c r="S26" s="11"/>
      <c r="T26" s="8"/>
      <c r="U26" s="12">
        <f t="shared" si="0"/>
        <v>270000</v>
      </c>
      <c r="V26" s="13"/>
    </row>
    <row r="27" spans="9:22" x14ac:dyDescent="0.35">
      <c r="I27" s="9">
        <v>10</v>
      </c>
      <c r="J27" s="9" t="s">
        <v>23</v>
      </c>
      <c r="K27" s="10" t="s">
        <v>20</v>
      </c>
      <c r="L27" s="11">
        <v>280000</v>
      </c>
      <c r="M27" s="13">
        <v>25000</v>
      </c>
      <c r="N27" s="11"/>
      <c r="O27" s="13"/>
      <c r="P27" s="12">
        <f t="shared" si="1"/>
        <v>305000</v>
      </c>
      <c r="Q27" s="8"/>
      <c r="R27" s="11"/>
      <c r="S27" s="11"/>
      <c r="T27" s="8"/>
      <c r="U27" s="12">
        <f t="shared" si="0"/>
        <v>305000</v>
      </c>
      <c r="V27" s="13"/>
    </row>
    <row r="28" spans="9:22" x14ac:dyDescent="0.35">
      <c r="I28" s="9">
        <v>11</v>
      </c>
      <c r="J28" s="9" t="s">
        <v>24</v>
      </c>
      <c r="K28" s="10" t="s">
        <v>25</v>
      </c>
      <c r="L28" s="11">
        <v>250000</v>
      </c>
      <c r="M28" s="13">
        <v>25000</v>
      </c>
      <c r="N28" s="11">
        <v>20000</v>
      </c>
      <c r="O28" s="13"/>
      <c r="P28" s="12">
        <f t="shared" si="1"/>
        <v>295000</v>
      </c>
      <c r="Q28" s="8"/>
      <c r="R28" s="11"/>
      <c r="S28" s="11"/>
      <c r="T28" s="8"/>
      <c r="U28" s="12">
        <f t="shared" si="0"/>
        <v>295000</v>
      </c>
      <c r="V28" s="13"/>
    </row>
    <row r="29" spans="9:22" x14ac:dyDescent="0.35">
      <c r="I29" s="9">
        <v>12</v>
      </c>
      <c r="J29" s="9" t="s">
        <v>26</v>
      </c>
      <c r="K29" s="10" t="s">
        <v>20</v>
      </c>
      <c r="L29" s="11">
        <v>270000</v>
      </c>
      <c r="M29" s="13">
        <v>25000</v>
      </c>
      <c r="N29" s="11">
        <v>0</v>
      </c>
      <c r="O29" s="13"/>
      <c r="P29" s="12">
        <f t="shared" si="1"/>
        <v>295000</v>
      </c>
      <c r="Q29" s="8"/>
      <c r="R29" s="11"/>
      <c r="S29" s="11"/>
      <c r="T29" s="8"/>
      <c r="U29" s="12">
        <f t="shared" si="0"/>
        <v>295000</v>
      </c>
      <c r="V29" s="13"/>
    </row>
    <row r="30" spans="9:22" x14ac:dyDescent="0.35">
      <c r="I30" s="9">
        <v>13</v>
      </c>
      <c r="J30" s="9" t="s">
        <v>68</v>
      </c>
      <c r="K30" s="10" t="s">
        <v>20</v>
      </c>
      <c r="L30" s="11">
        <v>280000</v>
      </c>
      <c r="M30" s="13">
        <v>25000</v>
      </c>
      <c r="N30" s="11"/>
      <c r="O30" s="13"/>
      <c r="P30" s="12">
        <f t="shared" si="1"/>
        <v>305000</v>
      </c>
      <c r="Q30" s="8"/>
      <c r="R30" s="11"/>
      <c r="S30" s="11"/>
      <c r="T30" s="8"/>
      <c r="U30" s="12">
        <f t="shared" si="0"/>
        <v>305000</v>
      </c>
      <c r="V30" s="13"/>
    </row>
    <row r="31" spans="9:22" x14ac:dyDescent="0.35">
      <c r="I31" s="9">
        <v>14</v>
      </c>
      <c r="J31" s="9" t="s">
        <v>82</v>
      </c>
      <c r="K31" s="10" t="s">
        <v>27</v>
      </c>
      <c r="L31" s="11">
        <v>250000</v>
      </c>
      <c r="M31" s="13">
        <v>25000</v>
      </c>
      <c r="N31" s="11"/>
      <c r="O31" s="13"/>
      <c r="P31" s="12">
        <f t="shared" si="1"/>
        <v>275000</v>
      </c>
      <c r="Q31" s="8"/>
      <c r="R31" s="11"/>
      <c r="S31" s="11"/>
      <c r="T31" s="8"/>
      <c r="U31" s="12">
        <f t="shared" si="0"/>
        <v>275000</v>
      </c>
      <c r="V31" s="13"/>
    </row>
    <row r="32" spans="9:22" x14ac:dyDescent="0.35">
      <c r="I32" s="9">
        <v>15</v>
      </c>
      <c r="J32" s="9" t="s">
        <v>28</v>
      </c>
      <c r="K32" s="10" t="s">
        <v>20</v>
      </c>
      <c r="L32" s="11">
        <v>260000</v>
      </c>
      <c r="M32" s="13">
        <v>25000</v>
      </c>
      <c r="N32" s="11"/>
      <c r="O32" s="13"/>
      <c r="P32" s="12">
        <f t="shared" si="1"/>
        <v>285000</v>
      </c>
      <c r="Q32" s="8"/>
      <c r="R32" s="11"/>
      <c r="S32" s="11"/>
      <c r="T32" s="8"/>
      <c r="U32" s="12">
        <f t="shared" si="0"/>
        <v>285000</v>
      </c>
      <c r="V32" s="13"/>
    </row>
    <row r="33" spans="9:22" x14ac:dyDescent="0.35">
      <c r="I33" s="9">
        <v>16</v>
      </c>
      <c r="J33" s="9" t="s">
        <v>29</v>
      </c>
      <c r="K33" s="10" t="s">
        <v>20</v>
      </c>
      <c r="L33" s="11">
        <v>260000</v>
      </c>
      <c r="M33" s="13">
        <v>25000</v>
      </c>
      <c r="N33" s="11"/>
      <c r="O33" s="13"/>
      <c r="P33" s="12">
        <f t="shared" si="1"/>
        <v>285000</v>
      </c>
      <c r="Q33" s="8"/>
      <c r="R33" s="11"/>
      <c r="S33" s="11"/>
      <c r="T33" s="8"/>
      <c r="U33" s="12">
        <f t="shared" si="0"/>
        <v>285000</v>
      </c>
      <c r="V33" s="13"/>
    </row>
    <row r="34" spans="9:22" x14ac:dyDescent="0.35">
      <c r="I34" s="9">
        <v>17</v>
      </c>
      <c r="J34" s="9" t="s">
        <v>30</v>
      </c>
      <c r="K34" s="10" t="s">
        <v>20</v>
      </c>
      <c r="L34" s="11">
        <v>260000</v>
      </c>
      <c r="M34" s="13">
        <v>25000</v>
      </c>
      <c r="N34" s="11">
        <v>0</v>
      </c>
      <c r="O34" s="13"/>
      <c r="P34" s="12">
        <f t="shared" si="1"/>
        <v>285000</v>
      </c>
      <c r="Q34" s="8"/>
      <c r="R34" s="11"/>
      <c r="S34" s="11"/>
      <c r="T34" s="8"/>
      <c r="U34" s="12">
        <f t="shared" si="0"/>
        <v>285000</v>
      </c>
      <c r="V34" s="13"/>
    </row>
    <row r="35" spans="9:22" x14ac:dyDescent="0.35">
      <c r="I35" s="9">
        <v>18</v>
      </c>
      <c r="J35" s="9" t="s">
        <v>31</v>
      </c>
      <c r="K35" s="10" t="s">
        <v>20</v>
      </c>
      <c r="L35" s="11">
        <v>250000</v>
      </c>
      <c r="M35" s="13">
        <v>25000</v>
      </c>
      <c r="N35" s="11">
        <v>0</v>
      </c>
      <c r="O35" s="13"/>
      <c r="P35" s="12">
        <f t="shared" si="1"/>
        <v>275000</v>
      </c>
      <c r="Q35" s="8"/>
      <c r="R35" s="11"/>
      <c r="S35" s="11"/>
      <c r="T35" s="8"/>
      <c r="U35" s="12">
        <f t="shared" si="0"/>
        <v>275000</v>
      </c>
      <c r="V35" s="13"/>
    </row>
    <row r="36" spans="9:22" x14ac:dyDescent="0.35">
      <c r="I36" s="9">
        <v>19</v>
      </c>
      <c r="J36" s="9" t="s">
        <v>81</v>
      </c>
      <c r="K36" s="10" t="s">
        <v>20</v>
      </c>
      <c r="L36" s="11">
        <v>280000</v>
      </c>
      <c r="M36" s="13">
        <v>25000</v>
      </c>
      <c r="N36" s="11">
        <v>0</v>
      </c>
      <c r="O36" s="13"/>
      <c r="P36" s="12">
        <f t="shared" si="1"/>
        <v>305000</v>
      </c>
      <c r="Q36" s="8"/>
      <c r="R36" s="11"/>
      <c r="S36" s="11"/>
      <c r="T36" s="8"/>
      <c r="U36" s="12">
        <f t="shared" si="0"/>
        <v>305000</v>
      </c>
      <c r="V36" s="13"/>
    </row>
    <row r="37" spans="9:22" x14ac:dyDescent="0.35">
      <c r="I37" s="9">
        <v>20</v>
      </c>
      <c r="J37" s="9" t="s">
        <v>32</v>
      </c>
      <c r="K37" s="10" t="s">
        <v>20</v>
      </c>
      <c r="L37" s="11">
        <v>250000</v>
      </c>
      <c r="M37" s="13">
        <v>0</v>
      </c>
      <c r="N37" s="11">
        <v>0</v>
      </c>
      <c r="O37" s="13"/>
      <c r="P37" s="12">
        <f t="shared" si="1"/>
        <v>250000</v>
      </c>
      <c r="Q37" s="8"/>
      <c r="R37" s="11"/>
      <c r="S37" s="11"/>
      <c r="T37" s="8"/>
      <c r="U37" s="12">
        <f t="shared" si="0"/>
        <v>250000</v>
      </c>
      <c r="V37" s="13"/>
    </row>
    <row r="38" spans="9:22" x14ac:dyDescent="0.35">
      <c r="I38" s="9">
        <v>21</v>
      </c>
      <c r="J38" s="9" t="s">
        <v>33</v>
      </c>
      <c r="K38" s="10" t="s">
        <v>20</v>
      </c>
      <c r="L38" s="11">
        <v>250000</v>
      </c>
      <c r="M38" s="13">
        <v>25000</v>
      </c>
      <c r="N38" s="11"/>
      <c r="O38" s="13"/>
      <c r="P38" s="12">
        <f t="shared" si="1"/>
        <v>275000</v>
      </c>
      <c r="Q38" s="8"/>
      <c r="R38" s="11"/>
      <c r="S38" s="11"/>
      <c r="T38" s="8"/>
      <c r="U38" s="12">
        <f t="shared" si="0"/>
        <v>275000</v>
      </c>
      <c r="V38" s="13"/>
    </row>
    <row r="39" spans="9:22" x14ac:dyDescent="0.35">
      <c r="I39" s="9">
        <v>22</v>
      </c>
      <c r="J39" s="9" t="s">
        <v>83</v>
      </c>
      <c r="K39" s="10" t="s">
        <v>20</v>
      </c>
      <c r="L39" s="11">
        <v>250000</v>
      </c>
      <c r="M39" s="13">
        <v>0</v>
      </c>
      <c r="N39" s="11">
        <v>20000</v>
      </c>
      <c r="O39" s="13"/>
      <c r="P39" s="12">
        <f t="shared" si="1"/>
        <v>270000</v>
      </c>
      <c r="Q39" s="8"/>
      <c r="R39" s="11"/>
      <c r="S39" s="11"/>
      <c r="T39" s="8"/>
      <c r="U39" s="12">
        <f t="shared" si="0"/>
        <v>270000</v>
      </c>
      <c r="V39" s="13"/>
    </row>
    <row r="40" spans="9:22" x14ac:dyDescent="0.35">
      <c r="I40" s="9">
        <v>23</v>
      </c>
      <c r="J40" s="9" t="s">
        <v>75</v>
      </c>
      <c r="K40" s="10" t="s">
        <v>20</v>
      </c>
      <c r="L40" s="11">
        <v>250000</v>
      </c>
      <c r="M40" s="13">
        <v>25000</v>
      </c>
      <c r="N40" s="11"/>
      <c r="O40" s="13"/>
      <c r="P40" s="12">
        <f t="shared" si="1"/>
        <v>275000</v>
      </c>
      <c r="Q40" s="8"/>
      <c r="R40" s="11"/>
      <c r="S40" s="11"/>
      <c r="T40" s="8"/>
      <c r="U40" s="12">
        <f t="shared" si="0"/>
        <v>275000</v>
      </c>
      <c r="V40" s="13"/>
    </row>
    <row r="41" spans="9:22" x14ac:dyDescent="0.35">
      <c r="I41" s="9">
        <v>24</v>
      </c>
      <c r="J41" s="9" t="s">
        <v>77</v>
      </c>
      <c r="K41" s="10" t="s">
        <v>20</v>
      </c>
      <c r="L41" s="11">
        <v>250000</v>
      </c>
      <c r="M41" s="13">
        <v>25000</v>
      </c>
      <c r="N41" s="11"/>
      <c r="O41" s="13"/>
      <c r="P41" s="12">
        <f>(L41+M41+N41+O41)</f>
        <v>275000</v>
      </c>
      <c r="Q41" s="8"/>
      <c r="R41" s="11"/>
      <c r="S41" s="11"/>
      <c r="T41" s="8"/>
      <c r="U41" s="12">
        <f t="shared" si="0"/>
        <v>275000</v>
      </c>
      <c r="V41" s="13"/>
    </row>
    <row r="42" spans="9:22" x14ac:dyDescent="0.35">
      <c r="I42" s="9">
        <v>25</v>
      </c>
      <c r="J42" s="9" t="s">
        <v>84</v>
      </c>
      <c r="K42" s="10" t="s">
        <v>20</v>
      </c>
      <c r="L42" s="11">
        <v>250000</v>
      </c>
      <c r="M42" s="13">
        <v>25000</v>
      </c>
      <c r="N42" s="11"/>
      <c r="O42" s="13"/>
      <c r="P42" s="12">
        <f t="shared" si="1"/>
        <v>275000</v>
      </c>
      <c r="Q42" s="8"/>
      <c r="R42" s="11"/>
      <c r="S42" s="11">
        <v>0</v>
      </c>
      <c r="T42" s="8"/>
      <c r="U42" s="12">
        <f t="shared" ref="U42:U45" si="2">(P42-Q42-R42-S42-T42)</f>
        <v>275000</v>
      </c>
      <c r="V42" s="13"/>
    </row>
    <row r="43" spans="9:22" x14ac:dyDescent="0.35">
      <c r="I43" s="10">
        <v>26</v>
      </c>
      <c r="J43" s="9" t="s">
        <v>86</v>
      </c>
      <c r="K43" s="10" t="s">
        <v>20</v>
      </c>
      <c r="L43" s="11">
        <v>150000</v>
      </c>
      <c r="M43" s="13">
        <v>0</v>
      </c>
      <c r="N43" s="11"/>
      <c r="O43" s="13"/>
      <c r="P43" s="16">
        <f t="shared" si="1"/>
        <v>150000</v>
      </c>
      <c r="Q43" s="8"/>
      <c r="R43" s="11"/>
      <c r="S43" s="11">
        <v>0</v>
      </c>
      <c r="T43" s="8"/>
      <c r="U43" s="12">
        <f t="shared" si="2"/>
        <v>150000</v>
      </c>
      <c r="V43" s="13"/>
    </row>
    <row r="44" spans="9:22" x14ac:dyDescent="0.35">
      <c r="I44" s="8"/>
      <c r="J44" s="9"/>
      <c r="K44" s="10"/>
      <c r="L44" s="11"/>
      <c r="M44" s="13"/>
      <c r="N44" s="11"/>
      <c r="O44" s="13"/>
      <c r="P44" s="16">
        <f t="shared" si="1"/>
        <v>0</v>
      </c>
      <c r="Q44" s="8"/>
      <c r="R44" s="11"/>
      <c r="S44" s="11"/>
      <c r="T44" s="8"/>
      <c r="U44" s="12">
        <f t="shared" si="2"/>
        <v>0</v>
      </c>
      <c r="V44" s="13"/>
    </row>
    <row r="45" spans="9:22" x14ac:dyDescent="0.35">
      <c r="I45" s="36" t="s">
        <v>34</v>
      </c>
      <c r="J45" s="37"/>
      <c r="K45" s="8"/>
      <c r="L45" s="11"/>
      <c r="M45" s="11"/>
      <c r="N45" s="11"/>
      <c r="O45" s="13"/>
      <c r="P45" s="16">
        <f t="shared" si="1"/>
        <v>0</v>
      </c>
      <c r="Q45" s="8"/>
      <c r="R45" s="11"/>
      <c r="S45" s="11"/>
      <c r="T45" s="8"/>
      <c r="U45" s="12">
        <f t="shared" si="2"/>
        <v>0</v>
      </c>
      <c r="V45" s="13"/>
    </row>
    <row r="46" spans="9:22" ht="16" x14ac:dyDescent="0.4">
      <c r="I46" s="38"/>
      <c r="J46" s="39"/>
      <c r="K46" s="4"/>
      <c r="L46" s="24">
        <f>SUM(L18:L45)</f>
        <v>7340000</v>
      </c>
      <c r="M46" s="24">
        <f>SUM(M18:M45)</f>
        <v>375000</v>
      </c>
      <c r="N46" s="24">
        <f>SUM(N18:N45)</f>
        <v>80000</v>
      </c>
      <c r="O46" s="27">
        <f>SUM(O18:O45)</f>
        <v>180000</v>
      </c>
      <c r="P46" s="25">
        <f>(L46+M46+N46+O46)</f>
        <v>7975000</v>
      </c>
      <c r="Q46" s="22"/>
      <c r="R46" s="24">
        <f>SUM(R18:R45)</f>
        <v>0</v>
      </c>
      <c r="S46" s="24">
        <f>SUM(S18:S45)</f>
        <v>0</v>
      </c>
      <c r="T46" s="4"/>
      <c r="U46" s="26">
        <f>(P46-Q46-R46-S46)</f>
        <v>7975000</v>
      </c>
      <c r="V46" s="12">
        <v>0</v>
      </c>
    </row>
    <row r="47" spans="9:22" x14ac:dyDescent="0.35">
      <c r="O47" s="1"/>
      <c r="P47" s="1"/>
      <c r="U47" s="1"/>
      <c r="V47" s="1"/>
    </row>
    <row r="48" spans="9:22" x14ac:dyDescent="0.35">
      <c r="O48" s="1"/>
      <c r="P48" s="1"/>
      <c r="U48" s="1"/>
      <c r="V48" s="1"/>
    </row>
    <row r="49" spans="10:22" x14ac:dyDescent="0.35">
      <c r="J49" s="17" t="s">
        <v>60</v>
      </c>
      <c r="K49" s="17"/>
      <c r="O49" s="23" t="s">
        <v>35</v>
      </c>
      <c r="P49" s="1"/>
      <c r="S49" s="17" t="s">
        <v>69</v>
      </c>
      <c r="T49" s="17"/>
      <c r="U49" s="1"/>
      <c r="V49" s="1"/>
    </row>
    <row r="50" spans="10:22" x14ac:dyDescent="0.35">
      <c r="J50" s="17" t="s">
        <v>65</v>
      </c>
      <c r="K50" s="17"/>
      <c r="O50" s="23" t="s">
        <v>66</v>
      </c>
      <c r="P50" s="1"/>
      <c r="S50" s="17" t="s">
        <v>37</v>
      </c>
      <c r="T50" s="17"/>
      <c r="U50" s="1"/>
      <c r="V50" s="1"/>
    </row>
    <row r="51" spans="10:22" x14ac:dyDescent="0.35">
      <c r="J51" s="17" t="s">
        <v>38</v>
      </c>
      <c r="K51" s="17"/>
      <c r="O51" s="23" t="s">
        <v>39</v>
      </c>
      <c r="P51" s="1"/>
      <c r="S51" s="17" t="s">
        <v>40</v>
      </c>
      <c r="T51" s="17"/>
      <c r="U51" s="1"/>
      <c r="V51" s="1"/>
    </row>
    <row r="52" spans="10:22" x14ac:dyDescent="0.35">
      <c r="J52" s="17"/>
      <c r="K52" s="17"/>
      <c r="O52" s="1"/>
      <c r="P52" s="1"/>
      <c r="S52" s="17"/>
      <c r="T52" s="17"/>
      <c r="U52" s="1"/>
      <c r="V52" s="1"/>
    </row>
    <row r="53" spans="10:22" x14ac:dyDescent="0.35">
      <c r="O53" s="1"/>
      <c r="P53" s="1"/>
      <c r="U53" s="1"/>
      <c r="V53" s="1"/>
    </row>
    <row r="54" spans="10:22" x14ac:dyDescent="0.35">
      <c r="O54" s="1"/>
      <c r="P54" s="1"/>
      <c r="U54" s="1"/>
      <c r="V54" s="1"/>
    </row>
    <row r="55" spans="10:22" x14ac:dyDescent="0.35">
      <c r="O55" s="1"/>
      <c r="P55" s="1"/>
      <c r="U55" s="1"/>
      <c r="V55" s="1"/>
    </row>
    <row r="56" spans="10:22" x14ac:dyDescent="0.35">
      <c r="O56" s="1"/>
      <c r="P56" s="1"/>
      <c r="U56" s="1"/>
      <c r="V56" s="1"/>
    </row>
    <row r="57" spans="10:22" x14ac:dyDescent="0.35">
      <c r="O57" s="1"/>
      <c r="P57" s="1"/>
      <c r="R57" s="28">
        <f>SUM(R55:R56)</f>
        <v>0</v>
      </c>
      <c r="U57" s="1"/>
      <c r="V57" s="1"/>
    </row>
    <row r="58" spans="10:22" x14ac:dyDescent="0.35">
      <c r="O58" s="1"/>
      <c r="P58" s="1"/>
      <c r="U58" s="1"/>
      <c r="V58" s="1"/>
    </row>
    <row r="59" spans="10:22" x14ac:dyDescent="0.35">
      <c r="O59" s="1"/>
      <c r="P59" s="1"/>
      <c r="U59" s="1"/>
      <c r="V59" s="1"/>
    </row>
    <row r="60" spans="10:22" x14ac:dyDescent="0.35">
      <c r="O60" s="1"/>
      <c r="P60" s="1"/>
      <c r="Q60" s="17"/>
      <c r="U60" s="1"/>
      <c r="V60" s="1"/>
    </row>
    <row r="61" spans="10:22" x14ac:dyDescent="0.35">
      <c r="O61" s="1"/>
      <c r="P61" s="1"/>
      <c r="U61" s="1"/>
      <c r="V61" s="1"/>
    </row>
    <row r="62" spans="10:22" ht="18.5" x14ac:dyDescent="0.45">
      <c r="N62" s="40" t="s">
        <v>80</v>
      </c>
      <c r="O62" s="40"/>
      <c r="P62" s="40"/>
      <c r="U62" s="1"/>
      <c r="V62" s="1"/>
    </row>
    <row r="63" spans="10:22" ht="18.5" x14ac:dyDescent="0.45">
      <c r="N63" s="40" t="s">
        <v>41</v>
      </c>
      <c r="O63" s="40"/>
      <c r="P63" s="40"/>
      <c r="U63" s="1"/>
      <c r="V63" s="1"/>
    </row>
    <row r="64" spans="10:22" x14ac:dyDescent="0.35">
      <c r="O64" s="1"/>
      <c r="P64" s="1"/>
      <c r="S64" s="1"/>
      <c r="U64" s="1"/>
      <c r="V64" s="1"/>
    </row>
    <row r="65" spans="9:22" x14ac:dyDescent="0.35">
      <c r="I65" s="33" t="s">
        <v>2</v>
      </c>
      <c r="J65" s="34"/>
      <c r="K65" s="34"/>
      <c r="L65" s="34"/>
      <c r="M65" s="34"/>
      <c r="N65" s="34"/>
      <c r="O65" s="35"/>
      <c r="P65" s="4"/>
      <c r="Q65" s="33" t="s">
        <v>3</v>
      </c>
      <c r="R65" s="34"/>
      <c r="S65" s="34"/>
      <c r="T65" s="34"/>
      <c r="U65" s="35"/>
      <c r="V65" s="5"/>
    </row>
    <row r="66" spans="9:22" x14ac:dyDescent="0.35">
      <c r="I66" s="4" t="s">
        <v>4</v>
      </c>
      <c r="J66" s="6" t="s">
        <v>5</v>
      </c>
      <c r="K66" s="6" t="s">
        <v>6</v>
      </c>
      <c r="L66" s="6" t="s">
        <v>42</v>
      </c>
      <c r="M66" s="6" t="s">
        <v>43</v>
      </c>
      <c r="N66" s="6" t="s">
        <v>44</v>
      </c>
      <c r="O66" s="6" t="s">
        <v>45</v>
      </c>
      <c r="P66" s="6" t="s">
        <v>8</v>
      </c>
      <c r="Q66" s="6" t="s">
        <v>46</v>
      </c>
      <c r="R66" s="6" t="s">
        <v>47</v>
      </c>
      <c r="S66" s="6" t="s">
        <v>48</v>
      </c>
      <c r="T66" s="6" t="s">
        <v>12</v>
      </c>
      <c r="U66" s="6" t="s">
        <v>13</v>
      </c>
      <c r="V66" s="4" t="s">
        <v>14</v>
      </c>
    </row>
    <row r="67" spans="9:22" x14ac:dyDescent="0.35">
      <c r="I67" s="15">
        <v>1</v>
      </c>
      <c r="J67" s="9" t="s">
        <v>49</v>
      </c>
      <c r="K67" s="9" t="s">
        <v>79</v>
      </c>
      <c r="L67" s="13">
        <v>270000</v>
      </c>
      <c r="M67" s="13"/>
      <c r="N67" s="9"/>
      <c r="O67" s="13">
        <v>30000</v>
      </c>
      <c r="P67" s="16">
        <f>(L67+M67+N67+O67)</f>
        <v>300000</v>
      </c>
      <c r="Q67" s="9"/>
      <c r="R67" s="9"/>
      <c r="S67" s="9"/>
      <c r="T67" s="9"/>
      <c r="U67" s="16">
        <f>(P67-Q67-R67-S67)</f>
        <v>300000</v>
      </c>
      <c r="V67" s="15"/>
    </row>
    <row r="68" spans="9:22" ht="16" x14ac:dyDescent="0.4">
      <c r="I68" s="18">
        <v>2</v>
      </c>
      <c r="J68" s="18" t="s">
        <v>52</v>
      </c>
      <c r="K68" s="14" t="s">
        <v>50</v>
      </c>
      <c r="L68" s="13">
        <v>345000</v>
      </c>
      <c r="M68" s="11"/>
      <c r="N68" s="8"/>
      <c r="O68" s="13">
        <v>30000</v>
      </c>
      <c r="P68" s="16">
        <f t="shared" ref="P68:P78" si="3">(L68+M68+N68+O68)</f>
        <v>375000</v>
      </c>
      <c r="Q68" s="9"/>
      <c r="R68" s="9"/>
      <c r="S68" s="8"/>
      <c r="T68" s="8"/>
      <c r="U68" s="16">
        <f t="shared" ref="U68:U78" si="4">(P68-Q68-R68-S68)</f>
        <v>375000</v>
      </c>
      <c r="V68" s="13"/>
    </row>
    <row r="69" spans="9:22" ht="16" x14ac:dyDescent="0.4">
      <c r="I69" s="18">
        <v>3</v>
      </c>
      <c r="J69" s="19" t="s">
        <v>53</v>
      </c>
      <c r="K69" s="14" t="s">
        <v>54</v>
      </c>
      <c r="L69" s="13">
        <v>270000</v>
      </c>
      <c r="M69" s="11"/>
      <c r="N69" s="8"/>
      <c r="O69" s="13">
        <v>30000</v>
      </c>
      <c r="P69" s="16">
        <f t="shared" si="3"/>
        <v>300000</v>
      </c>
      <c r="Q69" s="9"/>
      <c r="R69" s="9"/>
      <c r="S69" s="8"/>
      <c r="T69" s="8"/>
      <c r="U69" s="16">
        <f t="shared" si="4"/>
        <v>300000</v>
      </c>
      <c r="V69" s="13"/>
    </row>
    <row r="70" spans="9:22" ht="16" x14ac:dyDescent="0.4">
      <c r="I70" s="18">
        <v>4</v>
      </c>
      <c r="J70" s="19" t="s">
        <v>64</v>
      </c>
      <c r="K70" s="8" t="s">
        <v>54</v>
      </c>
      <c r="L70" s="13">
        <v>270000</v>
      </c>
      <c r="M70" s="11"/>
      <c r="N70" s="8"/>
      <c r="O70" s="13">
        <v>30000</v>
      </c>
      <c r="P70" s="16">
        <f t="shared" si="3"/>
        <v>300000</v>
      </c>
      <c r="Q70" s="13"/>
      <c r="R70" s="9"/>
      <c r="S70" s="8"/>
      <c r="T70" s="8"/>
      <c r="U70" s="16">
        <f t="shared" si="4"/>
        <v>300000</v>
      </c>
      <c r="V70" s="13"/>
    </row>
    <row r="71" spans="9:22" ht="16" x14ac:dyDescent="0.4">
      <c r="I71" s="18">
        <v>5</v>
      </c>
      <c r="J71" s="19" t="s">
        <v>55</v>
      </c>
      <c r="K71" s="14" t="s">
        <v>56</v>
      </c>
      <c r="L71" s="13">
        <v>225000</v>
      </c>
      <c r="M71" s="11"/>
      <c r="N71" s="8"/>
      <c r="O71" s="13"/>
      <c r="P71" s="16">
        <f t="shared" si="3"/>
        <v>225000</v>
      </c>
      <c r="Q71" s="9"/>
      <c r="R71" s="9"/>
      <c r="S71" s="8"/>
      <c r="T71" s="8"/>
      <c r="U71" s="16">
        <f t="shared" si="4"/>
        <v>225000</v>
      </c>
      <c r="V71" s="13"/>
    </row>
    <row r="72" spans="9:22" ht="16" x14ac:dyDescent="0.4">
      <c r="I72" s="18">
        <v>6</v>
      </c>
      <c r="J72" s="19" t="s">
        <v>61</v>
      </c>
      <c r="K72" s="14" t="s">
        <v>57</v>
      </c>
      <c r="L72" s="13">
        <v>135000</v>
      </c>
      <c r="M72" s="11"/>
      <c r="N72" s="8"/>
      <c r="O72" s="13"/>
      <c r="P72" s="16">
        <f t="shared" si="3"/>
        <v>135000</v>
      </c>
      <c r="Q72" s="9"/>
      <c r="R72" s="9"/>
      <c r="S72" s="8"/>
      <c r="T72" s="8"/>
      <c r="U72" s="16">
        <f t="shared" si="4"/>
        <v>135000</v>
      </c>
      <c r="V72" s="13"/>
    </row>
    <row r="73" spans="9:22" ht="16" x14ac:dyDescent="0.4">
      <c r="I73" s="18">
        <v>7</v>
      </c>
      <c r="J73" s="19" t="s">
        <v>62</v>
      </c>
      <c r="K73" s="14" t="s">
        <v>57</v>
      </c>
      <c r="L73" s="13">
        <v>135000</v>
      </c>
      <c r="M73" s="11"/>
      <c r="N73" s="8"/>
      <c r="O73" s="13"/>
      <c r="P73" s="16">
        <f t="shared" si="3"/>
        <v>135000</v>
      </c>
      <c r="Q73" s="9"/>
      <c r="R73" s="9"/>
      <c r="S73" s="8"/>
      <c r="T73" s="8"/>
      <c r="U73" s="16">
        <f t="shared" si="4"/>
        <v>135000</v>
      </c>
      <c r="V73" s="13"/>
    </row>
    <row r="74" spans="9:22" ht="16" x14ac:dyDescent="0.4">
      <c r="I74" s="18">
        <v>8</v>
      </c>
      <c r="J74" s="19" t="s">
        <v>63</v>
      </c>
      <c r="K74" s="14" t="s">
        <v>57</v>
      </c>
      <c r="L74" s="13">
        <v>135000</v>
      </c>
      <c r="M74" s="11"/>
      <c r="N74" s="8"/>
      <c r="O74" s="13"/>
      <c r="P74" s="16">
        <f t="shared" si="3"/>
        <v>135000</v>
      </c>
      <c r="Q74" s="13"/>
      <c r="R74" s="9"/>
      <c r="S74" s="8"/>
      <c r="T74" s="8"/>
      <c r="U74" s="16">
        <f t="shared" si="4"/>
        <v>135000</v>
      </c>
      <c r="V74" s="13"/>
    </row>
    <row r="75" spans="9:22" ht="16" x14ac:dyDescent="0.4">
      <c r="I75" s="18">
        <v>9</v>
      </c>
      <c r="J75" s="19" t="s">
        <v>59</v>
      </c>
      <c r="K75" s="14" t="s">
        <v>58</v>
      </c>
      <c r="L75" s="13">
        <v>135000</v>
      </c>
      <c r="M75" s="11"/>
      <c r="N75" s="8"/>
      <c r="O75" s="13"/>
      <c r="P75" s="16">
        <f t="shared" si="3"/>
        <v>135000</v>
      </c>
      <c r="Q75" s="9"/>
      <c r="R75" s="9"/>
      <c r="S75" s="8"/>
      <c r="T75" s="8"/>
      <c r="U75" s="16">
        <f t="shared" si="4"/>
        <v>135000</v>
      </c>
      <c r="V75" s="13"/>
    </row>
    <row r="76" spans="9:22" ht="16" x14ac:dyDescent="0.4">
      <c r="I76" s="18"/>
      <c r="J76" s="19"/>
      <c r="K76" s="8"/>
      <c r="L76" s="13"/>
      <c r="M76" s="11"/>
      <c r="N76" s="8"/>
      <c r="O76" s="13"/>
      <c r="P76" s="16">
        <f t="shared" si="3"/>
        <v>0</v>
      </c>
      <c r="Q76" s="9"/>
      <c r="R76" s="9"/>
      <c r="S76" s="8"/>
      <c r="T76" s="8"/>
      <c r="U76" s="16">
        <f t="shared" si="4"/>
        <v>0</v>
      </c>
      <c r="V76" s="13"/>
    </row>
    <row r="77" spans="9:22" ht="16" x14ac:dyDescent="0.4">
      <c r="I77" s="18"/>
      <c r="J77" s="20"/>
      <c r="K77" s="8"/>
      <c r="L77" s="13"/>
      <c r="M77" s="11"/>
      <c r="N77" s="8"/>
      <c r="O77" s="13"/>
      <c r="P77" s="16">
        <f t="shared" si="3"/>
        <v>0</v>
      </c>
      <c r="Q77" s="9"/>
      <c r="R77" s="9"/>
      <c r="S77" s="8"/>
      <c r="T77" s="8"/>
      <c r="U77" s="16">
        <f t="shared" si="4"/>
        <v>0</v>
      </c>
      <c r="V77" s="13"/>
    </row>
    <row r="78" spans="9:22" x14ac:dyDescent="0.35">
      <c r="I78" s="29" t="s">
        <v>34</v>
      </c>
      <c r="J78" s="30"/>
      <c r="K78" s="8"/>
      <c r="L78" s="13"/>
      <c r="M78" s="11"/>
      <c r="N78" s="8"/>
      <c r="O78" s="13"/>
      <c r="P78" s="16">
        <f t="shared" si="3"/>
        <v>0</v>
      </c>
      <c r="Q78" s="9"/>
      <c r="R78" s="9"/>
      <c r="S78" s="8"/>
      <c r="T78" s="8"/>
      <c r="U78" s="16">
        <f t="shared" si="4"/>
        <v>0</v>
      </c>
      <c r="V78" s="13"/>
    </row>
    <row r="79" spans="9:22" x14ac:dyDescent="0.35">
      <c r="I79" s="31"/>
      <c r="J79" s="32"/>
      <c r="K79" s="4"/>
      <c r="L79" s="24">
        <f>SUM(L67:L78)</f>
        <v>1920000</v>
      </c>
      <c r="M79" s="24"/>
      <c r="N79" s="22"/>
      <c r="O79" s="24">
        <f>SUM(O67:O78)</f>
        <v>120000</v>
      </c>
      <c r="P79" s="16">
        <f>(L79+M79+N79+O79)</f>
        <v>2040000</v>
      </c>
      <c r="Q79" s="24">
        <f>SUM(Q67:Q78)</f>
        <v>0</v>
      </c>
      <c r="R79" s="24">
        <f>SUM(R67:R78)</f>
        <v>0</v>
      </c>
      <c r="S79" s="4"/>
      <c r="T79" s="4"/>
      <c r="U79" s="21">
        <f>(P79-Q79-R79-S79-T79)</f>
        <v>2040000</v>
      </c>
      <c r="V79" s="12">
        <v>0</v>
      </c>
    </row>
    <row r="80" spans="9:22" x14ac:dyDescent="0.35">
      <c r="O80" s="1"/>
      <c r="P80" s="1"/>
      <c r="U80" s="1"/>
      <c r="V80" s="1"/>
    </row>
    <row r="81" spans="10:22" x14ac:dyDescent="0.35">
      <c r="O81" s="1"/>
      <c r="P81" s="1"/>
      <c r="U81" s="1"/>
      <c r="V81" s="1"/>
    </row>
    <row r="82" spans="10:22" x14ac:dyDescent="0.35">
      <c r="O82" s="1"/>
      <c r="P82" s="1"/>
      <c r="U82" s="1"/>
      <c r="V82" s="1"/>
    </row>
    <row r="83" spans="10:22" x14ac:dyDescent="0.35">
      <c r="J83" s="17" t="s">
        <v>60</v>
      </c>
      <c r="L83" s="17"/>
      <c r="N83" s="17" t="s">
        <v>35</v>
      </c>
      <c r="O83" s="1"/>
      <c r="P83" s="1"/>
      <c r="S83" s="17" t="s">
        <v>69</v>
      </c>
      <c r="T83" s="17"/>
      <c r="U83" s="1"/>
      <c r="V83" s="1"/>
    </row>
    <row r="84" spans="10:22" x14ac:dyDescent="0.35">
      <c r="J84" s="17" t="s">
        <v>65</v>
      </c>
      <c r="L84" s="17"/>
      <c r="N84" s="17" t="s">
        <v>36</v>
      </c>
      <c r="O84" s="1"/>
      <c r="P84" s="1"/>
      <c r="S84" s="17" t="s">
        <v>37</v>
      </c>
      <c r="T84" s="17"/>
      <c r="U84" s="1"/>
      <c r="V84" s="1"/>
    </row>
    <row r="85" spans="10:22" x14ac:dyDescent="0.35">
      <c r="J85" s="17" t="s">
        <v>70</v>
      </c>
      <c r="L85" s="17"/>
      <c r="N85" s="17" t="s">
        <v>38</v>
      </c>
      <c r="O85" s="1"/>
      <c r="P85" s="1"/>
      <c r="S85" s="17" t="s">
        <v>40</v>
      </c>
      <c r="T85" s="17"/>
      <c r="U85" s="1"/>
      <c r="V85" s="1"/>
    </row>
    <row r="86" spans="10:22" x14ac:dyDescent="0.35">
      <c r="O86" s="1"/>
      <c r="P86" s="1"/>
      <c r="S86" s="17"/>
      <c r="T86" s="17"/>
      <c r="U86" s="1"/>
      <c r="V86" s="1"/>
    </row>
    <row r="87" spans="10:22" x14ac:dyDescent="0.35">
      <c r="O87" s="1"/>
      <c r="P87" s="1"/>
      <c r="U87" s="1"/>
      <c r="V87" s="1"/>
    </row>
  </sheetData>
  <mergeCells count="8">
    <mergeCell ref="I78:J79"/>
    <mergeCell ref="I16:O16"/>
    <mergeCell ref="Q16:U16"/>
    <mergeCell ref="I45:J46"/>
    <mergeCell ref="N62:P62"/>
    <mergeCell ref="N63:P63"/>
    <mergeCell ref="I65:O65"/>
    <mergeCell ref="Q65:U65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2025-09-19T03:58:38Z</dcterms:created>
  <dcterms:modified xsi:type="dcterms:W3CDTF">2026-03-13T20:12:12Z</dcterms:modified>
</cp:coreProperties>
</file>